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cement\Project\"/>
    </mc:Choice>
  </mc:AlternateContent>
  <xr:revisionPtr revIDLastSave="0" documentId="8_{EAAA2C65-C99C-49CB-BA51-2FA529D154A5}" xr6:coauthVersionLast="47" xr6:coauthVersionMax="47" xr10:uidLastSave="{00000000-0000-0000-0000-000000000000}"/>
  <bookViews>
    <workbookView xWindow="-108" yWindow="-108" windowWidth="23256" windowHeight="12456" xr2:uid="{E0A056C4-8AE8-4911-993B-B31BA4BFA786}"/>
  </bookViews>
  <sheets>
    <sheet name="TCS" sheetId="1" r:id="rId1"/>
  </sheets>
  <definedNames>
    <definedName name="_xlnm._FilterDatabase" localSheetId="0" hidden="1">TCS!$C$7:$G$7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4" i="1" l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K9" i="1" s="1"/>
  <c r="E115" i="1"/>
  <c r="G114" i="1"/>
  <c r="J9" i="1" s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N73" i="1"/>
  <c r="J74" i="1" s="1"/>
  <c r="M73" i="1"/>
  <c r="L73" i="1"/>
  <c r="K73" i="1"/>
  <c r="G73" i="1"/>
  <c r="E73" i="1"/>
  <c r="J72" i="1"/>
  <c r="G72" i="1"/>
  <c r="E72" i="1"/>
  <c r="N71" i="1"/>
  <c r="M71" i="1"/>
  <c r="L71" i="1"/>
  <c r="K71" i="1"/>
  <c r="J71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J62" i="1"/>
  <c r="G62" i="1"/>
  <c r="E62" i="1"/>
  <c r="G61" i="1"/>
  <c r="E61" i="1"/>
  <c r="G60" i="1"/>
  <c r="K10" i="1" s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M47" i="1"/>
  <c r="L47" i="1"/>
  <c r="G47" i="1"/>
  <c r="E47" i="1"/>
  <c r="G46" i="1"/>
  <c r="E46" i="1"/>
  <c r="M45" i="1"/>
  <c r="M49" i="1" s="1"/>
  <c r="L45" i="1"/>
  <c r="L49" i="1" s="1"/>
  <c r="K45" i="1"/>
  <c r="J45" i="1"/>
  <c r="G45" i="1"/>
  <c r="E45" i="1"/>
  <c r="G44" i="1"/>
  <c r="E44" i="1"/>
  <c r="G43" i="1"/>
  <c r="E43" i="1"/>
  <c r="G42" i="1"/>
  <c r="E42" i="1"/>
  <c r="G41" i="1"/>
  <c r="E41" i="1"/>
  <c r="N40" i="1"/>
  <c r="M40" i="1"/>
  <c r="L40" i="1"/>
  <c r="K47" i="1" s="1"/>
  <c r="K40" i="1"/>
  <c r="J47" i="1" s="1"/>
  <c r="G40" i="1"/>
  <c r="E40" i="1"/>
  <c r="N39" i="1"/>
  <c r="M39" i="1"/>
  <c r="L39" i="1"/>
  <c r="K39" i="1"/>
  <c r="J39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K32" i="1"/>
  <c r="L31" i="1" s="1"/>
  <c r="G32" i="1"/>
  <c r="E32" i="1"/>
  <c r="G31" i="1"/>
  <c r="E31" i="1"/>
  <c r="G30" i="1"/>
  <c r="E30" i="1"/>
  <c r="G29" i="1"/>
  <c r="E29" i="1"/>
  <c r="G28" i="1"/>
  <c r="E28" i="1"/>
  <c r="G27" i="1"/>
  <c r="E27" i="1"/>
  <c r="L26" i="1"/>
  <c r="G26" i="1"/>
  <c r="E26" i="1"/>
  <c r="G25" i="1"/>
  <c r="E25" i="1"/>
  <c r="L24" i="1"/>
  <c r="K24" i="1"/>
  <c r="J24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I11" i="1"/>
  <c r="G11" i="1"/>
  <c r="K12" i="1" s="1"/>
  <c r="E11" i="1"/>
  <c r="J10" i="1"/>
  <c r="I10" i="1"/>
  <c r="G10" i="1"/>
  <c r="K11" i="1" s="1"/>
  <c r="E10" i="1"/>
  <c r="J11" i="1" s="1"/>
  <c r="G9" i="1"/>
  <c r="E9" i="1"/>
  <c r="J12" i="1" s="1"/>
  <c r="L12" i="1" s="1"/>
  <c r="L18" i="1" s="1"/>
  <c r="E4" i="1"/>
  <c r="L11" i="1" l="1"/>
  <c r="J75" i="1"/>
  <c r="J76" i="1" s="1"/>
  <c r="J81" i="1" s="1"/>
  <c r="J49" i="1"/>
  <c r="K49" i="1"/>
  <c r="K50" i="1" s="1"/>
  <c r="M52" i="1" s="1"/>
  <c r="J56" i="1" s="1"/>
  <c r="L10" i="1"/>
  <c r="L50" i="1"/>
  <c r="L9" i="1"/>
  <c r="M50" i="1"/>
  <c r="L33" i="1"/>
  <c r="J58" i="1" s="1"/>
  <c r="L32" i="1"/>
  <c r="L30" i="1"/>
  <c r="K56" i="1" l="1"/>
  <c r="J57" i="1"/>
  <c r="L56" i="1" l="1"/>
  <c r="K57" i="1"/>
  <c r="M56" i="1" l="1"/>
  <c r="L57" i="1"/>
  <c r="N56" i="1" l="1"/>
  <c r="M57" i="1"/>
  <c r="N57" i="1" l="1"/>
  <c r="J61" i="1" s="1"/>
  <c r="J63" i="1" s="1"/>
  <c r="J65" i="1" s="1"/>
  <c r="J80" i="1" s="1"/>
  <c r="O56" i="1"/>
  <c r="O57" i="1" s="1"/>
</calcChain>
</file>

<file path=xl/sharedStrings.xml><?xml version="1.0" encoding="utf-8"?>
<sst xmlns="http://schemas.openxmlformats.org/spreadsheetml/2006/main" count="268" uniqueCount="244">
  <si>
    <t xml:space="preserve">LARGE CAP </t>
  </si>
  <si>
    <t>Market Cap</t>
  </si>
  <si>
    <t>₹ 15,76,190 Cr.</t>
  </si>
  <si>
    <t>Current Price</t>
  </si>
  <si>
    <t>Tata Consultancy Services</t>
  </si>
  <si>
    <t>CNX 500</t>
  </si>
  <si>
    <t>Weeks</t>
  </si>
  <si>
    <t>Date</t>
  </si>
  <si>
    <t>Closing Price</t>
  </si>
  <si>
    <t>Returns (%)</t>
  </si>
  <si>
    <t>Computation of Beta</t>
  </si>
  <si>
    <t>Week - 1</t>
  </si>
  <si>
    <t>Year</t>
  </si>
  <si>
    <t xml:space="preserve">Covariance </t>
  </si>
  <si>
    <t>Variance of Rm</t>
  </si>
  <si>
    <t>Beta</t>
  </si>
  <si>
    <t>Week - 2</t>
  </si>
  <si>
    <t>Week - 3</t>
  </si>
  <si>
    <t>Week - 4</t>
  </si>
  <si>
    <t>Week - 5</t>
  </si>
  <si>
    <t>FY 2021-24</t>
  </si>
  <si>
    <t>Week - 6</t>
  </si>
  <si>
    <t>Week - 7</t>
  </si>
  <si>
    <t>Computation of Expected Return</t>
  </si>
  <si>
    <t>Week - 8</t>
  </si>
  <si>
    <t>Particulars</t>
  </si>
  <si>
    <t>FY 2024</t>
  </si>
  <si>
    <t>Week - 9</t>
  </si>
  <si>
    <t>Market Risk Premium</t>
  </si>
  <si>
    <t>Week - 10</t>
  </si>
  <si>
    <t>Risk Free rate of 10 Year Government Security</t>
  </si>
  <si>
    <t>Week - 11</t>
  </si>
  <si>
    <t>Expected Return on Securities</t>
  </si>
  <si>
    <t>Week - 12</t>
  </si>
  <si>
    <t>Week - 13</t>
  </si>
  <si>
    <t>Computation of Cost of Debt</t>
  </si>
  <si>
    <t>Week - 14</t>
  </si>
  <si>
    <t>FY 2022</t>
  </si>
  <si>
    <t>FY 2023</t>
  </si>
  <si>
    <t>Week - 15</t>
  </si>
  <si>
    <t>Total Debt</t>
  </si>
  <si>
    <t>Week - 16</t>
  </si>
  <si>
    <t>Interest</t>
  </si>
  <si>
    <t>Week - 17</t>
  </si>
  <si>
    <t>Cost of Debt</t>
  </si>
  <si>
    <t>Week - 18</t>
  </si>
  <si>
    <t xml:space="preserve">Tax Rate </t>
  </si>
  <si>
    <t>Week - 19</t>
  </si>
  <si>
    <t>Cost of Debt After Tax</t>
  </si>
  <si>
    <t>Week - 20</t>
  </si>
  <si>
    <t>Week - 21</t>
  </si>
  <si>
    <t>Computation of Weighted Average Cost of Capital (WACC)</t>
  </si>
  <si>
    <t>Week - 22</t>
  </si>
  <si>
    <t>Weightage</t>
  </si>
  <si>
    <t>Week - 23</t>
  </si>
  <si>
    <t xml:space="preserve">Equity </t>
  </si>
  <si>
    <t>Week - 24</t>
  </si>
  <si>
    <t>Debt</t>
  </si>
  <si>
    <t>Week - 25</t>
  </si>
  <si>
    <t>Total</t>
  </si>
  <si>
    <t>Week - 26</t>
  </si>
  <si>
    <t>WACC</t>
  </si>
  <si>
    <t>Week - 27</t>
  </si>
  <si>
    <t>Week - 28</t>
  </si>
  <si>
    <t xml:space="preserve">Computation of Net Working Capital </t>
  </si>
  <si>
    <t>Week - 29</t>
  </si>
  <si>
    <t>FY 2020</t>
  </si>
  <si>
    <t>FY 2021</t>
  </si>
  <si>
    <t>Week - 30</t>
  </si>
  <si>
    <t>Current Assets</t>
  </si>
  <si>
    <t>Week - 31</t>
  </si>
  <si>
    <t>Current Liabilities</t>
  </si>
  <si>
    <t>Week - 32</t>
  </si>
  <si>
    <t>Working Capital</t>
  </si>
  <si>
    <t>Week - 33</t>
  </si>
  <si>
    <t>Changes in Working Capital</t>
  </si>
  <si>
    <t>Week - 34</t>
  </si>
  <si>
    <t>Week - 35</t>
  </si>
  <si>
    <t>Computation of Free Cash Flow</t>
  </si>
  <si>
    <t>Week - 36</t>
  </si>
  <si>
    <t>Week - 37</t>
  </si>
  <si>
    <t>EBIT</t>
  </si>
  <si>
    <t>Week - 38</t>
  </si>
  <si>
    <t>EBIT*(1-T)</t>
  </si>
  <si>
    <t>Week - 39</t>
  </si>
  <si>
    <t>Add: Depreciation &amp; Amortisation</t>
  </si>
  <si>
    <t>Week - 40</t>
  </si>
  <si>
    <t>Less: Changes in net working capital</t>
  </si>
  <si>
    <t>Week - 41</t>
  </si>
  <si>
    <t>Less: Capital expenditure</t>
  </si>
  <si>
    <t>Week - 42</t>
  </si>
  <si>
    <t>Free Cash flow for the firm (FCFF)</t>
  </si>
  <si>
    <t>Week - 43</t>
  </si>
  <si>
    <t>Growth of FCFF</t>
  </si>
  <si>
    <t>Week - 44</t>
  </si>
  <si>
    <t xml:space="preserve">Growth Rate </t>
  </si>
  <si>
    <t>Week - 45</t>
  </si>
  <si>
    <t>Average Growth Rate</t>
  </si>
  <si>
    <t>Week - 46</t>
  </si>
  <si>
    <t>Week - 47</t>
  </si>
  <si>
    <t>Projected Future Cash Flows</t>
  </si>
  <si>
    <t>Week - 48</t>
  </si>
  <si>
    <t>FY 2025</t>
  </si>
  <si>
    <t>FY 2026</t>
  </si>
  <si>
    <t>FY 2027</t>
  </si>
  <si>
    <t>FY 2028</t>
  </si>
  <si>
    <t>FY 2029</t>
  </si>
  <si>
    <t>FY 30 to Perpetuity</t>
  </si>
  <si>
    <t>Week - 49</t>
  </si>
  <si>
    <t>Projected Cash Flows</t>
  </si>
  <si>
    <t>Week - 50</t>
  </si>
  <si>
    <t>Present Value of Future Cash Flows</t>
  </si>
  <si>
    <t>Week - 51</t>
  </si>
  <si>
    <t>Discount Rate (r)</t>
  </si>
  <si>
    <t>Week - 52</t>
  </si>
  <si>
    <t>Perpetual Growth Rate (g)</t>
  </si>
  <si>
    <t>Week - 53</t>
  </si>
  <si>
    <t>Week - 54</t>
  </si>
  <si>
    <t>Value of The Firm</t>
  </si>
  <si>
    <t>Week - 55</t>
  </si>
  <si>
    <t>Total debt</t>
  </si>
  <si>
    <t>Week - 56</t>
  </si>
  <si>
    <t>Value of Equity</t>
  </si>
  <si>
    <t>Week - 57</t>
  </si>
  <si>
    <t>No of Outstanding Shares</t>
  </si>
  <si>
    <t>Week - 58</t>
  </si>
  <si>
    <t>Value Per Share Using DCF Method</t>
  </si>
  <si>
    <t>Week - 59</t>
  </si>
  <si>
    <t>Week - 60</t>
  </si>
  <si>
    <t>P/E Multiple Method</t>
  </si>
  <si>
    <t>Week - 61</t>
  </si>
  <si>
    <t>Week - 62</t>
  </si>
  <si>
    <t>Price of shares (Historical data)</t>
  </si>
  <si>
    <t>Week - 63</t>
  </si>
  <si>
    <t>Earning Per Share(EPS)</t>
  </si>
  <si>
    <t>Week - 64</t>
  </si>
  <si>
    <t>P/E Ratio</t>
  </si>
  <si>
    <t>Week - 65</t>
  </si>
  <si>
    <t>Average P/E</t>
  </si>
  <si>
    <t>Week - 66</t>
  </si>
  <si>
    <t>Earning Per Share(EPS) Growth Rate</t>
  </si>
  <si>
    <t>Week - 67</t>
  </si>
  <si>
    <t>Average EPS Growth Rate</t>
  </si>
  <si>
    <t>Week - 68</t>
  </si>
  <si>
    <t>Projected EPS</t>
  </si>
  <si>
    <t>Week - 69</t>
  </si>
  <si>
    <t>Value Per Share Using P/E Multiple</t>
  </si>
  <si>
    <t>Week - 70</t>
  </si>
  <si>
    <t>Week - 71</t>
  </si>
  <si>
    <t xml:space="preserve">Summary </t>
  </si>
  <si>
    <t>Week - 72</t>
  </si>
  <si>
    <t>Amount (Rs.)</t>
  </si>
  <si>
    <t>Week - 73</t>
  </si>
  <si>
    <t xml:space="preserve">Value Per Share Using DCF Method </t>
  </si>
  <si>
    <t>Week - 74</t>
  </si>
  <si>
    <t>Week - 75</t>
  </si>
  <si>
    <t>Current Market price as on 06th December, 2024</t>
  </si>
  <si>
    <t>Week - 76</t>
  </si>
  <si>
    <t>Week - 77</t>
  </si>
  <si>
    <t>Assumptions :</t>
  </si>
  <si>
    <t>Week - 78</t>
  </si>
  <si>
    <t>1. Risk free rate equivalent to a 10-year government security i.e. YTM of Government security maturing on year 2034/35 i.e. 6.69%</t>
  </si>
  <si>
    <t>Week - 79</t>
  </si>
  <si>
    <t>2. Market Risk Premium is assumed to be 10 %</t>
  </si>
  <si>
    <t>Week - 80</t>
  </si>
  <si>
    <t>3. Tax rate is assumed to be 25%</t>
  </si>
  <si>
    <t>Week - 81</t>
  </si>
  <si>
    <r>
      <t>4. Cash flows from the end of 5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year to perpetuity should assume a growth rate of 4%</t>
    </r>
  </si>
  <si>
    <t>Week - 82</t>
  </si>
  <si>
    <t>Week - 83</t>
  </si>
  <si>
    <t>Week - 84</t>
  </si>
  <si>
    <t>Week - 85</t>
  </si>
  <si>
    <t>Week - 86</t>
  </si>
  <si>
    <t>Week - 87</t>
  </si>
  <si>
    <t>Week - 88</t>
  </si>
  <si>
    <t>Week - 89</t>
  </si>
  <si>
    <t>Week - 90</t>
  </si>
  <si>
    <t>Week - 91</t>
  </si>
  <si>
    <t>Week - 92</t>
  </si>
  <si>
    <t>Week - 93</t>
  </si>
  <si>
    <t>Week - 94</t>
  </si>
  <si>
    <t>Week - 95</t>
  </si>
  <si>
    <t>Week - 96</t>
  </si>
  <si>
    <t>Week - 97</t>
  </si>
  <si>
    <t>Week - 98</t>
  </si>
  <si>
    <t>Week - 99</t>
  </si>
  <si>
    <t>Week - 100</t>
  </si>
  <si>
    <t>Week - 101</t>
  </si>
  <si>
    <t>Week - 102</t>
  </si>
  <si>
    <t>Week - 103</t>
  </si>
  <si>
    <t>Week - 104</t>
  </si>
  <si>
    <t>Week - 105</t>
  </si>
  <si>
    <t>Week - 106</t>
  </si>
  <si>
    <t>Week - 107</t>
  </si>
  <si>
    <t>Week - 108</t>
  </si>
  <si>
    <t>Week - 109</t>
  </si>
  <si>
    <t>Week - 110</t>
  </si>
  <si>
    <t>Week - 111</t>
  </si>
  <si>
    <t>Week - 112</t>
  </si>
  <si>
    <t>Week - 113</t>
  </si>
  <si>
    <t>Week - 114</t>
  </si>
  <si>
    <t>Week - 115</t>
  </si>
  <si>
    <t>Week - 116</t>
  </si>
  <si>
    <t>Week - 117</t>
  </si>
  <si>
    <t>Week - 118</t>
  </si>
  <si>
    <t>Week - 119</t>
  </si>
  <si>
    <t>Week - 120</t>
  </si>
  <si>
    <t>Week - 121</t>
  </si>
  <si>
    <t>Week - 122</t>
  </si>
  <si>
    <t>Week - 123</t>
  </si>
  <si>
    <t>Week - 124</t>
  </si>
  <si>
    <t>Week - 125</t>
  </si>
  <si>
    <t>Week - 126</t>
  </si>
  <si>
    <t>Week - 127</t>
  </si>
  <si>
    <t>Week - 128</t>
  </si>
  <si>
    <t>Week - 129</t>
  </si>
  <si>
    <t>Week - 130</t>
  </si>
  <si>
    <t>Week - 131</t>
  </si>
  <si>
    <t>Week - 132</t>
  </si>
  <si>
    <t>Week - 133</t>
  </si>
  <si>
    <t>Week - 134</t>
  </si>
  <si>
    <t>Week - 135</t>
  </si>
  <si>
    <t>Week - 136</t>
  </si>
  <si>
    <t>Week - 137</t>
  </si>
  <si>
    <t>Week - 138</t>
  </si>
  <si>
    <t>Week - 139</t>
  </si>
  <si>
    <t>Week - 140</t>
  </si>
  <si>
    <t>Week - 141</t>
  </si>
  <si>
    <t>Week - 142</t>
  </si>
  <si>
    <t>Week - 143</t>
  </si>
  <si>
    <t>Week - 144</t>
  </si>
  <si>
    <t>Week - 145</t>
  </si>
  <si>
    <t>Week - 146</t>
  </si>
  <si>
    <t>Week - 147</t>
  </si>
  <si>
    <t>Week - 148</t>
  </si>
  <si>
    <t>Week - 149</t>
  </si>
  <si>
    <t>Week - 150</t>
  </si>
  <si>
    <t>Week - 151</t>
  </si>
  <si>
    <t>Week - 152</t>
  </si>
  <si>
    <t>Week - 153</t>
  </si>
  <si>
    <t>Week - 154</t>
  </si>
  <si>
    <t>Week - 155</t>
  </si>
  <si>
    <t>Week - 156</t>
  </si>
  <si>
    <t>Week - 157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</si>
</sst>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₹&quot;\ #,##0.00;&quot;₹&quot;\ \-#,##0.00"/>
    <numFmt numFmtId="43" formatCode="_ * #,##0.00_ ;_ * \-#,##0.00_ ;_ * &quot;-&quot;??_ ;_ @_ "/>
    <numFmt numFmtId="164" formatCode="&quot;₹&quot;\ #,##0.00"/>
    <numFmt numFmtId="165" formatCode="&quot;FY - &quot;0"/>
    <numFmt numFmtId="166" formatCode="&quot;₹&quot;\ #,##0.00;\(&quot;₹&quot;\ #,##0.00\)"/>
    <numFmt numFmtId="167" formatCode="0.0000000"/>
    <numFmt numFmtId="168" formatCode="&quot;fY &quot;0.00"/>
    <numFmt numFmtId="169" formatCode="0.00&quot; Crores&quot;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7"/>
      <color rgb="FF000000"/>
      <name val="Roboto"/>
    </font>
    <font>
      <sz val="12"/>
      <color rgb="FF040C28"/>
      <name val="Arial"/>
      <family val="2"/>
    </font>
    <font>
      <sz val="11"/>
      <color rgb="FF001D35"/>
      <name val="Arial"/>
      <family val="2"/>
    </font>
    <font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medium">
        <color rgb="FFDDDDDD"/>
      </top>
      <bottom style="medium">
        <color rgb="FFECECEC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3" xfId="0" applyFont="1" applyBorder="1" applyAlignment="1">
      <alignment vertical="top"/>
    </xf>
    <xf numFmtId="0" fontId="3" fillId="0" borderId="4" xfId="0" applyFont="1" applyBorder="1"/>
    <xf numFmtId="0" fontId="7" fillId="0" borderId="5" xfId="0" applyFont="1" applyBorder="1" applyAlignment="1">
      <alignment vertical="top"/>
    </xf>
    <xf numFmtId="164" fontId="3" fillId="0" borderId="6" xfId="0" applyNumberFormat="1" applyFont="1" applyBorder="1"/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1" xfId="2" applyFont="1" applyFill="1" applyBorder="1" applyAlignment="1">
      <alignment horizontal="center" vertical="center"/>
    </xf>
    <xf numFmtId="0" fontId="2" fillId="2" borderId="12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1" fillId="4" borderId="0" xfId="2" applyFill="1" applyAlignment="1">
      <alignment vertical="center"/>
    </xf>
    <xf numFmtId="0" fontId="0" fillId="0" borderId="14" xfId="0" applyBorder="1" applyAlignment="1">
      <alignment horizontal="center"/>
    </xf>
    <xf numFmtId="14" fontId="1" fillId="0" borderId="15" xfId="0" applyNumberFormat="1" applyFont="1" applyBorder="1" applyAlignment="1">
      <alignment horizontal="left" wrapText="1"/>
    </xf>
    <xf numFmtId="7" fontId="1" fillId="0" borderId="15" xfId="0" applyNumberFormat="1" applyFont="1" applyBorder="1" applyAlignment="1">
      <alignment horizontal="right" wrapText="1"/>
    </xf>
    <xf numFmtId="10" fontId="1" fillId="0" borderId="16" xfId="1" applyNumberFormat="1" applyFont="1" applyBorder="1" applyAlignment="1">
      <alignment horizontal="right"/>
    </xf>
    <xf numFmtId="7" fontId="1" fillId="0" borderId="15" xfId="0" applyNumberFormat="1" applyFont="1" applyBorder="1" applyAlignment="1">
      <alignment horizontal="right"/>
    </xf>
    <xf numFmtId="10" fontId="1" fillId="0" borderId="17" xfId="1" applyNumberFormat="1" applyFont="1" applyBorder="1" applyAlignment="1">
      <alignment horizontal="right"/>
    </xf>
    <xf numFmtId="0" fontId="3" fillId="3" borderId="18" xfId="2" applyFont="1" applyFill="1" applyBorder="1" applyAlignment="1">
      <alignment horizontal="left" vertical="center"/>
    </xf>
    <xf numFmtId="0" fontId="3" fillId="3" borderId="19" xfId="2" applyFont="1" applyFill="1" applyBorder="1" applyAlignment="1">
      <alignment horizontal="center" vertical="center"/>
    </xf>
    <xf numFmtId="0" fontId="3" fillId="3" borderId="20" xfId="2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14" fontId="1" fillId="0" borderId="21" xfId="0" applyNumberFormat="1" applyFont="1" applyBorder="1" applyAlignment="1">
      <alignment horizontal="left" wrapText="1"/>
    </xf>
    <xf numFmtId="7" fontId="1" fillId="0" borderId="21" xfId="0" applyNumberFormat="1" applyFont="1" applyBorder="1" applyAlignment="1">
      <alignment horizontal="right" wrapText="1"/>
    </xf>
    <xf numFmtId="10" fontId="1" fillId="0" borderId="22" xfId="1" applyNumberFormat="1" applyFont="1" applyBorder="1" applyAlignment="1">
      <alignment horizontal="right"/>
    </xf>
    <xf numFmtId="7" fontId="1" fillId="0" borderId="21" xfId="0" applyNumberFormat="1" applyFont="1" applyBorder="1" applyAlignment="1">
      <alignment horizontal="right"/>
    </xf>
    <xf numFmtId="10" fontId="1" fillId="0" borderId="23" xfId="1" applyNumberFormat="1" applyFont="1" applyBorder="1" applyAlignment="1">
      <alignment horizontal="right"/>
    </xf>
    <xf numFmtId="165" fontId="1" fillId="4" borderId="24" xfId="2" applyNumberFormat="1" applyFill="1" applyBorder="1" applyAlignment="1">
      <alignment horizontal="left" vertical="center"/>
    </xf>
    <xf numFmtId="0" fontId="1" fillId="4" borderId="25" xfId="2" applyFill="1" applyBorder="1" applyAlignment="1">
      <alignment horizontal="center" vertical="center"/>
    </xf>
    <xf numFmtId="0" fontId="1" fillId="4" borderId="26" xfId="2" applyFill="1" applyBorder="1" applyAlignment="1">
      <alignment horizontal="center" vertical="center"/>
    </xf>
    <xf numFmtId="165" fontId="1" fillId="4" borderId="3" xfId="2" applyNumberFormat="1" applyFill="1" applyBorder="1" applyAlignment="1">
      <alignment horizontal="left" vertical="center"/>
    </xf>
    <xf numFmtId="0" fontId="1" fillId="4" borderId="27" xfId="2" applyFill="1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165" fontId="1" fillId="4" borderId="28" xfId="2" applyNumberFormat="1" applyFill="1" applyBorder="1" applyAlignment="1">
      <alignment horizontal="left" vertical="center"/>
    </xf>
    <xf numFmtId="0" fontId="1" fillId="4" borderId="29" xfId="2" applyFill="1" applyBorder="1" applyAlignment="1">
      <alignment horizontal="center" vertical="center"/>
    </xf>
    <xf numFmtId="0" fontId="1" fillId="4" borderId="30" xfId="2" applyFill="1" applyBorder="1" applyAlignment="1">
      <alignment horizontal="center" vertical="center"/>
    </xf>
    <xf numFmtId="0" fontId="3" fillId="4" borderId="31" xfId="2" applyFont="1" applyFill="1" applyBorder="1" applyAlignment="1">
      <alignment horizontal="left" vertical="center"/>
    </xf>
    <xf numFmtId="0" fontId="3" fillId="4" borderId="32" xfId="2" applyFont="1" applyFill="1" applyBorder="1" applyAlignment="1">
      <alignment horizontal="center" vertical="center"/>
    </xf>
    <xf numFmtId="0" fontId="3" fillId="4" borderId="33" xfId="2" applyFont="1" applyFill="1" applyBorder="1" applyAlignment="1">
      <alignment horizontal="center" vertical="center"/>
    </xf>
    <xf numFmtId="0" fontId="3" fillId="3" borderId="18" xfId="2" applyFont="1" applyFill="1" applyBorder="1" applyAlignment="1">
      <alignment horizontal="left" vertical="center"/>
    </xf>
    <xf numFmtId="0" fontId="3" fillId="3" borderId="19" xfId="2" applyFont="1" applyFill="1" applyBorder="1" applyAlignment="1">
      <alignment horizontal="left" vertical="center"/>
    </xf>
    <xf numFmtId="0" fontId="3" fillId="3" borderId="20" xfId="2" applyFont="1" applyFill="1" applyBorder="1" applyAlignment="1">
      <alignment horizontal="right" vertical="center"/>
    </xf>
    <xf numFmtId="0" fontId="1" fillId="4" borderId="24" xfId="2" applyFill="1" applyBorder="1" applyAlignment="1">
      <alignment horizontal="left" vertical="center"/>
    </xf>
    <xf numFmtId="0" fontId="1" fillId="4" borderId="25" xfId="2" applyFill="1" applyBorder="1" applyAlignment="1">
      <alignment horizontal="left" vertical="center"/>
    </xf>
    <xf numFmtId="10" fontId="1" fillId="4" borderId="26" xfId="3" applyNumberFormat="1" applyFont="1" applyFill="1" applyBorder="1" applyAlignment="1">
      <alignment horizontal="right" vertical="center"/>
    </xf>
    <xf numFmtId="0" fontId="1" fillId="4" borderId="28" xfId="2" applyFill="1" applyBorder="1" applyAlignment="1">
      <alignment horizontal="left" vertical="center"/>
    </xf>
    <xf numFmtId="0" fontId="1" fillId="4" borderId="29" xfId="2" applyFill="1" applyBorder="1" applyAlignment="1">
      <alignment horizontal="left" vertical="center"/>
    </xf>
    <xf numFmtId="10" fontId="1" fillId="4" borderId="30" xfId="3" applyNumberFormat="1" applyFont="1" applyFill="1" applyBorder="1" applyAlignment="1">
      <alignment horizontal="right" vertical="center"/>
    </xf>
    <xf numFmtId="0" fontId="3" fillId="4" borderId="31" xfId="2" applyFont="1" applyFill="1" applyBorder="1" applyAlignment="1">
      <alignment horizontal="left" vertical="center"/>
    </xf>
    <xf numFmtId="0" fontId="3" fillId="4" borderId="32" xfId="2" applyFont="1" applyFill="1" applyBorder="1" applyAlignment="1">
      <alignment horizontal="left" vertical="center"/>
    </xf>
    <xf numFmtId="10" fontId="3" fillId="4" borderId="33" xfId="2" applyNumberFormat="1" applyFont="1" applyFill="1" applyBorder="1" applyAlignment="1">
      <alignment horizontal="right" vertical="center"/>
    </xf>
    <xf numFmtId="0" fontId="2" fillId="2" borderId="0" xfId="2" applyFont="1" applyFill="1" applyAlignment="1">
      <alignment horizontal="center" vertical="center"/>
    </xf>
    <xf numFmtId="0" fontId="3" fillId="3" borderId="18" xfId="2" applyFont="1" applyFill="1" applyBorder="1" applyAlignment="1">
      <alignment vertical="center"/>
    </xf>
    <xf numFmtId="0" fontId="3" fillId="3" borderId="19" xfId="2" applyFont="1" applyFill="1" applyBorder="1" applyAlignment="1">
      <alignment horizontal="right" vertical="center"/>
    </xf>
    <xf numFmtId="0" fontId="1" fillId="4" borderId="24" xfId="2" applyFill="1" applyBorder="1" applyAlignment="1">
      <alignment vertical="center"/>
    </xf>
    <xf numFmtId="166" fontId="10" fillId="5" borderId="25" xfId="0" applyNumberFormat="1" applyFont="1" applyFill="1" applyBorder="1" applyAlignment="1">
      <alignment horizontal="right" vertical="center" wrapText="1"/>
    </xf>
    <xf numFmtId="166" fontId="10" fillId="5" borderId="26" xfId="0" applyNumberFormat="1" applyFont="1" applyFill="1" applyBorder="1" applyAlignment="1">
      <alignment horizontal="right" vertical="center" wrapText="1"/>
    </xf>
    <xf numFmtId="4" fontId="10" fillId="5" borderId="0" xfId="0" applyNumberFormat="1" applyFont="1" applyFill="1" applyAlignment="1">
      <alignment horizontal="right" vertical="center" wrapText="1"/>
    </xf>
    <xf numFmtId="0" fontId="11" fillId="5" borderId="0" xfId="0" applyFont="1" applyFill="1" applyAlignment="1">
      <alignment horizontal="right" vertical="top" wrapText="1"/>
    </xf>
    <xf numFmtId="0" fontId="1" fillId="4" borderId="3" xfId="2" applyFill="1" applyBorder="1" applyAlignment="1">
      <alignment vertical="center"/>
    </xf>
    <xf numFmtId="166" fontId="10" fillId="5" borderId="27" xfId="0" applyNumberFormat="1" applyFont="1" applyFill="1" applyBorder="1" applyAlignment="1">
      <alignment horizontal="right" vertical="center" wrapText="1"/>
    </xf>
    <xf numFmtId="166" fontId="10" fillId="5" borderId="4" xfId="0" applyNumberFormat="1" applyFont="1" applyFill="1" applyBorder="1" applyAlignment="1">
      <alignment horizontal="right" vertical="center" wrapText="1"/>
    </xf>
    <xf numFmtId="0" fontId="10" fillId="5" borderId="0" xfId="0" applyFont="1" applyFill="1" applyAlignment="1">
      <alignment horizontal="right" vertical="center" wrapText="1"/>
    </xf>
    <xf numFmtId="10" fontId="1" fillId="4" borderId="27" xfId="3" applyNumberFormat="1" applyFont="1" applyFill="1" applyBorder="1" applyAlignment="1">
      <alignment horizontal="right" vertical="center"/>
    </xf>
    <xf numFmtId="10" fontId="1" fillId="4" borderId="4" xfId="3" applyNumberFormat="1" applyFont="1" applyFill="1" applyBorder="1" applyAlignment="1">
      <alignment horizontal="right" vertical="center"/>
    </xf>
    <xf numFmtId="9" fontId="1" fillId="4" borderId="30" xfId="3" applyFont="1" applyFill="1" applyBorder="1" applyAlignment="1">
      <alignment horizontal="right" vertical="center"/>
    </xf>
    <xf numFmtId="10" fontId="1" fillId="4" borderId="0" xfId="2" applyNumberFormat="1" applyFill="1" applyAlignment="1">
      <alignment vertical="center"/>
    </xf>
    <xf numFmtId="0" fontId="1" fillId="4" borderId="25" xfId="2" applyFill="1" applyBorder="1" applyAlignment="1">
      <alignment vertical="center"/>
    </xf>
    <xf numFmtId="167" fontId="1" fillId="4" borderId="26" xfId="2" applyNumberFormat="1" applyFill="1" applyBorder="1" applyAlignment="1">
      <alignment horizontal="right" vertical="center"/>
    </xf>
    <xf numFmtId="0" fontId="1" fillId="4" borderId="27" xfId="2" applyFill="1" applyBorder="1" applyAlignment="1">
      <alignment vertical="center"/>
    </xf>
    <xf numFmtId="167" fontId="1" fillId="4" borderId="4" xfId="2" applyNumberFormat="1" applyFill="1" applyBorder="1" applyAlignment="1">
      <alignment horizontal="right" vertical="center"/>
    </xf>
    <xf numFmtId="0" fontId="1" fillId="4" borderId="28" xfId="2" applyFill="1" applyBorder="1" applyAlignment="1">
      <alignment vertical="center"/>
    </xf>
    <xf numFmtId="0" fontId="1" fillId="4" borderId="29" xfId="2" applyFill="1" applyBorder="1" applyAlignment="1">
      <alignment vertical="center"/>
    </xf>
    <xf numFmtId="167" fontId="1" fillId="4" borderId="30" xfId="2" applyNumberFormat="1" applyFill="1" applyBorder="1" applyAlignment="1">
      <alignment horizontal="right" vertical="center"/>
    </xf>
    <xf numFmtId="10" fontId="3" fillId="4" borderId="33" xfId="3" applyNumberFormat="1" applyFont="1" applyFill="1" applyBorder="1" applyAlignment="1">
      <alignment horizontal="right" vertical="center"/>
    </xf>
    <xf numFmtId="0" fontId="10" fillId="5" borderId="0" xfId="0" applyFont="1" applyFill="1" applyAlignment="1">
      <alignment horizontal="right" vertical="top" wrapText="1"/>
    </xf>
    <xf numFmtId="166" fontId="1" fillId="0" borderId="29" xfId="0" applyNumberFormat="1" applyFont="1" applyBorder="1"/>
    <xf numFmtId="166" fontId="1" fillId="0" borderId="30" xfId="0" applyNumberFormat="1" applyFont="1" applyBorder="1"/>
    <xf numFmtId="0" fontId="3" fillId="4" borderId="31" xfId="2" applyFont="1" applyFill="1" applyBorder="1" applyAlignment="1">
      <alignment vertical="center"/>
    </xf>
    <xf numFmtId="43" fontId="3" fillId="4" borderId="32" xfId="4" applyFont="1" applyFill="1" applyBorder="1" applyAlignment="1">
      <alignment vertical="center"/>
    </xf>
    <xf numFmtId="166" fontId="3" fillId="4" borderId="32" xfId="4" applyNumberFormat="1" applyFont="1" applyFill="1" applyBorder="1" applyAlignment="1">
      <alignment vertical="center"/>
    </xf>
    <xf numFmtId="166" fontId="3" fillId="4" borderId="33" xfId="4" applyNumberFormat="1" applyFont="1" applyFill="1" applyBorder="1" applyAlignment="1">
      <alignment vertical="center"/>
    </xf>
    <xf numFmtId="166" fontId="1" fillId="0" borderId="27" xfId="0" applyNumberFormat="1" applyFont="1" applyBorder="1"/>
    <xf numFmtId="166" fontId="1" fillId="0" borderId="4" xfId="0" applyNumberFormat="1" applyFont="1" applyBorder="1"/>
    <xf numFmtId="0" fontId="1" fillId="4" borderId="5" xfId="2" applyFill="1" applyBorder="1" applyAlignment="1">
      <alignment vertical="center"/>
    </xf>
    <xf numFmtId="166" fontId="10" fillId="5" borderId="34" xfId="0" applyNumberFormat="1" applyFont="1" applyFill="1" applyBorder="1" applyAlignment="1">
      <alignment horizontal="right" vertical="center" wrapText="1"/>
    </xf>
    <xf numFmtId="166" fontId="10" fillId="5" borderId="6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3" fillId="4" borderId="18" xfId="2" applyFont="1" applyFill="1" applyBorder="1" applyAlignment="1">
      <alignment vertical="center"/>
    </xf>
    <xf numFmtId="166" fontId="3" fillId="4" borderId="19" xfId="4" applyNumberFormat="1" applyFont="1" applyFill="1" applyBorder="1" applyAlignment="1">
      <alignment vertical="center"/>
    </xf>
    <xf numFmtId="166" fontId="3" fillId="4" borderId="20" xfId="4" applyNumberFormat="1" applyFont="1" applyFill="1" applyBorder="1" applyAlignment="1">
      <alignment vertical="center"/>
    </xf>
    <xf numFmtId="0" fontId="1" fillId="4" borderId="1" xfId="2" applyFill="1" applyBorder="1" applyAlignment="1">
      <alignment vertical="center"/>
    </xf>
    <xf numFmtId="0" fontId="1" fillId="4" borderId="35" xfId="2" applyFill="1" applyBorder="1" applyAlignment="1">
      <alignment vertical="center"/>
    </xf>
    <xf numFmtId="10" fontId="1" fillId="4" borderId="35" xfId="1" applyNumberFormat="1" applyFont="1" applyFill="1" applyBorder="1" applyAlignment="1">
      <alignment vertical="center"/>
    </xf>
    <xf numFmtId="10" fontId="1" fillId="4" borderId="2" xfId="1" applyNumberFormat="1" applyFont="1" applyFill="1" applyBorder="1" applyAlignment="1">
      <alignment vertical="center"/>
    </xf>
    <xf numFmtId="0" fontId="1" fillId="4" borderId="34" xfId="2" applyFill="1" applyBorder="1" applyAlignment="1">
      <alignment vertical="center"/>
    </xf>
    <xf numFmtId="10" fontId="1" fillId="4" borderId="34" xfId="3" applyNumberFormat="1" applyFont="1" applyFill="1" applyBorder="1" applyAlignment="1">
      <alignment vertical="center"/>
    </xf>
    <xf numFmtId="43" fontId="1" fillId="4" borderId="6" xfId="3" applyNumberFormat="1" applyFont="1" applyFill="1" applyBorder="1" applyAlignment="1">
      <alignment vertical="center"/>
    </xf>
    <xf numFmtId="10" fontId="3" fillId="4" borderId="33" xfId="2" applyNumberFormat="1" applyFont="1" applyFill="1" applyBorder="1" applyAlignment="1">
      <alignment vertical="center"/>
    </xf>
    <xf numFmtId="10" fontId="1" fillId="4" borderId="0" xfId="3" applyNumberFormat="1" applyFont="1" applyFill="1" applyAlignment="1">
      <alignment vertical="center"/>
    </xf>
    <xf numFmtId="168" fontId="3" fillId="3" borderId="19" xfId="2" applyNumberFormat="1" applyFont="1" applyFill="1" applyBorder="1" applyAlignment="1">
      <alignment horizontal="right" vertical="center"/>
    </xf>
    <xf numFmtId="166" fontId="1" fillId="4" borderId="25" xfId="4" applyNumberFormat="1" applyFont="1" applyFill="1" applyBorder="1" applyAlignment="1">
      <alignment vertical="center"/>
    </xf>
    <xf numFmtId="166" fontId="1" fillId="4" borderId="26" xfId="4" applyNumberFormat="1" applyFont="1" applyFill="1" applyBorder="1" applyAlignment="1">
      <alignment vertical="center"/>
    </xf>
    <xf numFmtId="166" fontId="1" fillId="4" borderId="27" xfId="4" applyNumberFormat="1" applyFont="1" applyFill="1" applyBorder="1" applyAlignment="1">
      <alignment vertical="center"/>
    </xf>
    <xf numFmtId="166" fontId="1" fillId="4" borderId="4" xfId="4" applyNumberFormat="1" applyFont="1" applyFill="1" applyBorder="1" applyAlignment="1">
      <alignment vertical="center"/>
    </xf>
    <xf numFmtId="10" fontId="1" fillId="4" borderId="27" xfId="2" applyNumberFormat="1" applyFill="1" applyBorder="1" applyAlignment="1">
      <alignment horizontal="right" vertical="center"/>
    </xf>
    <xf numFmtId="10" fontId="1" fillId="4" borderId="4" xfId="2" applyNumberFormat="1" applyFill="1" applyBorder="1" applyAlignment="1">
      <alignment horizontal="right" vertical="center"/>
    </xf>
    <xf numFmtId="10" fontId="1" fillId="4" borderId="27" xfId="3" applyNumberFormat="1" applyFont="1" applyFill="1" applyBorder="1" applyAlignment="1">
      <alignment horizontal="right" vertical="center"/>
    </xf>
    <xf numFmtId="10" fontId="1" fillId="4" borderId="4" xfId="3" applyNumberFormat="1" applyFont="1" applyFill="1" applyBorder="1" applyAlignment="1">
      <alignment horizontal="right" vertical="center"/>
    </xf>
    <xf numFmtId="0" fontId="1" fillId="4" borderId="4" xfId="2" applyFill="1" applyBorder="1" applyAlignment="1">
      <alignment vertical="center"/>
    </xf>
    <xf numFmtId="0" fontId="1" fillId="6" borderId="3" xfId="2" applyFill="1" applyBorder="1" applyAlignment="1">
      <alignment vertical="center"/>
    </xf>
    <xf numFmtId="166" fontId="1" fillId="6" borderId="27" xfId="4" applyNumberFormat="1" applyFont="1" applyFill="1" applyBorder="1" applyAlignment="1">
      <alignment horizontal="right" vertical="center"/>
    </xf>
    <xf numFmtId="166" fontId="1" fillId="6" borderId="4" xfId="4" applyNumberFormat="1" applyFont="1" applyFill="1" applyBorder="1" applyAlignment="1">
      <alignment horizontal="right" vertical="center"/>
    </xf>
    <xf numFmtId="166" fontId="1" fillId="6" borderId="27" xfId="2" applyNumberFormat="1" applyFill="1" applyBorder="1" applyAlignment="1">
      <alignment horizontal="right" vertical="center"/>
    </xf>
    <xf numFmtId="166" fontId="1" fillId="6" borderId="4" xfId="2" applyNumberFormat="1" applyFill="1" applyBorder="1" applyAlignment="1">
      <alignment horizontal="right" vertical="center"/>
    </xf>
    <xf numFmtId="0" fontId="1" fillId="6" borderId="5" xfId="2" applyFill="1" applyBorder="1" applyAlignment="1">
      <alignment vertical="center"/>
    </xf>
    <xf numFmtId="169" fontId="1" fillId="6" borderId="34" xfId="4" applyNumberFormat="1" applyFont="1" applyFill="1" applyBorder="1" applyAlignment="1">
      <alignment horizontal="right" vertical="center"/>
    </xf>
    <xf numFmtId="169" fontId="1" fillId="6" borderId="6" xfId="4" applyNumberFormat="1" applyFont="1" applyFill="1" applyBorder="1" applyAlignment="1">
      <alignment horizontal="right" vertical="center"/>
    </xf>
    <xf numFmtId="3" fontId="12" fillId="0" borderId="0" xfId="0" applyNumberFormat="1" applyFont="1"/>
    <xf numFmtId="7" fontId="3" fillId="4" borderId="32" xfId="4" applyNumberFormat="1" applyFont="1" applyFill="1" applyBorder="1" applyAlignment="1">
      <alignment horizontal="right" vertical="center"/>
    </xf>
    <xf numFmtId="7" fontId="3" fillId="4" borderId="33" xfId="4" applyNumberFormat="1" applyFont="1" applyFill="1" applyBorder="1" applyAlignment="1">
      <alignment horizontal="right" vertical="center"/>
    </xf>
    <xf numFmtId="0" fontId="2" fillId="2" borderId="18" xfId="2" applyFont="1" applyFill="1" applyBorder="1" applyAlignment="1">
      <alignment horizontal="center" vertical="center"/>
    </xf>
    <xf numFmtId="0" fontId="2" fillId="2" borderId="19" xfId="2" applyFont="1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/>
    </xf>
    <xf numFmtId="3" fontId="13" fillId="0" borderId="0" xfId="0" applyNumberFormat="1" applyFont="1"/>
    <xf numFmtId="166" fontId="1" fillId="4" borderId="35" xfId="4" applyNumberFormat="1" applyFont="1" applyFill="1" applyBorder="1" applyAlignment="1">
      <alignment vertical="center"/>
    </xf>
    <xf numFmtId="166" fontId="1" fillId="4" borderId="2" xfId="4" applyNumberFormat="1" applyFont="1" applyFill="1" applyBorder="1" applyAlignment="1">
      <alignment vertical="center"/>
    </xf>
    <xf numFmtId="0" fontId="11" fillId="5" borderId="36" xfId="0" applyFont="1" applyFill="1" applyBorder="1" applyAlignment="1">
      <alignment horizontal="right" vertical="top" wrapText="1"/>
    </xf>
    <xf numFmtId="2" fontId="1" fillId="4" borderId="27" xfId="2" applyNumberFormat="1" applyFill="1" applyBorder="1" applyAlignment="1">
      <alignment vertical="center"/>
    </xf>
    <xf numFmtId="2" fontId="1" fillId="4" borderId="4" xfId="2" applyNumberFormat="1" applyFill="1" applyBorder="1" applyAlignment="1">
      <alignment vertical="center"/>
    </xf>
    <xf numFmtId="0" fontId="3" fillId="4" borderId="3" xfId="2" applyFont="1" applyFill="1" applyBorder="1" applyAlignment="1">
      <alignment vertical="center"/>
    </xf>
    <xf numFmtId="2" fontId="3" fillId="4" borderId="27" xfId="2" applyNumberFormat="1" applyFont="1" applyFill="1" applyBorder="1" applyAlignment="1">
      <alignment horizontal="right" vertical="center"/>
    </xf>
    <xf numFmtId="2" fontId="3" fillId="4" borderId="4" xfId="2" applyNumberFormat="1" applyFont="1" applyFill="1" applyBorder="1" applyAlignment="1">
      <alignment horizontal="right" vertical="center"/>
    </xf>
    <xf numFmtId="10" fontId="1" fillId="4" borderId="27" xfId="3" applyNumberFormat="1" applyFont="1" applyFill="1" applyBorder="1" applyAlignment="1">
      <alignment vertical="center"/>
    </xf>
    <xf numFmtId="10" fontId="1" fillId="4" borderId="4" xfId="3" applyNumberFormat="1" applyFont="1" applyFill="1" applyBorder="1" applyAlignment="1">
      <alignment vertical="center"/>
    </xf>
    <xf numFmtId="10" fontId="3" fillId="4" borderId="27" xfId="2" applyNumberFormat="1" applyFont="1" applyFill="1" applyBorder="1" applyAlignment="1">
      <alignment horizontal="right" vertical="center"/>
    </xf>
    <xf numFmtId="10" fontId="3" fillId="4" borderId="4" xfId="2" applyNumberFormat="1" applyFont="1" applyFill="1" applyBorder="1" applyAlignment="1">
      <alignment horizontal="right" vertical="center"/>
    </xf>
    <xf numFmtId="164" fontId="1" fillId="4" borderId="34" xfId="2" applyNumberFormat="1" applyFill="1" applyBorder="1" applyAlignment="1">
      <alignment horizontal="right" vertical="center"/>
    </xf>
    <xf numFmtId="164" fontId="1" fillId="4" borderId="6" xfId="2" applyNumberFormat="1" applyFill="1" applyBorder="1" applyAlignment="1">
      <alignment horizontal="right" vertical="center"/>
    </xf>
    <xf numFmtId="0" fontId="1" fillId="4" borderId="37" xfId="2" applyFill="1" applyBorder="1" applyAlignment="1">
      <alignment vertical="center"/>
    </xf>
    <xf numFmtId="164" fontId="3" fillId="4" borderId="38" xfId="2" applyNumberFormat="1" applyFont="1" applyFill="1" applyBorder="1" applyAlignment="1">
      <alignment vertical="center"/>
    </xf>
    <xf numFmtId="0" fontId="1" fillId="4" borderId="39" xfId="2" applyFill="1" applyBorder="1" applyAlignment="1">
      <alignment vertical="center"/>
    </xf>
    <xf numFmtId="164" fontId="3" fillId="4" borderId="40" xfId="2" applyNumberFormat="1" applyFont="1" applyFill="1" applyBorder="1" applyAlignment="1">
      <alignment vertical="center"/>
    </xf>
    <xf numFmtId="0" fontId="3" fillId="4" borderId="11" xfId="2" applyFont="1" applyFill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1" xfId="0" applyFont="1" applyBorder="1"/>
    <xf numFmtId="0" fontId="1" fillId="0" borderId="40" xfId="0" applyFont="1" applyBorder="1"/>
    <xf numFmtId="0" fontId="0" fillId="0" borderId="42" xfId="0" applyBorder="1" applyAlignment="1">
      <alignment horizontal="center"/>
    </xf>
    <xf numFmtId="14" fontId="1" fillId="0" borderId="42" xfId="0" applyNumberFormat="1" applyFont="1" applyBorder="1" applyAlignment="1">
      <alignment horizontal="left" wrapText="1"/>
    </xf>
    <xf numFmtId="7" fontId="1" fillId="0" borderId="42" xfId="0" applyNumberFormat="1" applyFont="1" applyBorder="1" applyAlignment="1">
      <alignment horizontal="right" wrapText="1"/>
    </xf>
    <xf numFmtId="7" fontId="1" fillId="0" borderId="42" xfId="0" applyNumberFormat="1" applyFont="1" applyBorder="1" applyAlignment="1">
      <alignment horizontal="right"/>
    </xf>
  </cellXfs>
  <cellStyles count="5">
    <cellStyle name="Comma 4" xfId="4" xr:uid="{10B7C773-7604-41F1-A3B1-60F3C59ACE56}"/>
    <cellStyle name="Normal" xfId="0" builtinId="0"/>
    <cellStyle name="Normal 3" xfId="2" xr:uid="{93C8F619-8E7F-4830-90C9-86D86C16387B}"/>
    <cellStyle name="Percent" xfId="1" builtinId="5"/>
    <cellStyle name="Percent 3" xfId="3" xr:uid="{BBD2E83E-666A-44E2-8DC6-A166BB74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91440</xdr:rowOff>
    </xdr:from>
    <xdr:to>
      <xdr:col>2</xdr:col>
      <xdr:colOff>990036</xdr:colOff>
      <xdr:row>3</xdr:row>
      <xdr:rowOff>175260</xdr:rowOff>
    </xdr:to>
    <xdr:pic>
      <xdr:nvPicPr>
        <xdr:cNvPr id="2" name="Picture 1" descr="TCS Media Kit: All our Assets and Leadership Images">
          <a:extLst>
            <a:ext uri="{FF2B5EF4-FFF2-40B4-BE49-F238E27FC236}">
              <a16:creationId xmlns:a16="http://schemas.microsoft.com/office/drawing/2014/main" id="{480FF430-E174-45BE-9497-FF438D5A6C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406" b="33108"/>
        <a:stretch/>
      </xdr:blipFill>
      <xdr:spPr bwMode="auto">
        <a:xfrm>
          <a:off x="190500" y="91440"/>
          <a:ext cx="1858716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D4A5-B508-4E4D-94AE-FBF43C0F4A3E}">
  <dimension ref="B1:V164"/>
  <sheetViews>
    <sheetView showGridLines="0" tabSelected="1" workbookViewId="0">
      <selection activeCell="I5" sqref="I5"/>
    </sheetView>
  </sheetViews>
  <sheetFormatPr defaultRowHeight="14.4" x14ac:dyDescent="0.3"/>
  <cols>
    <col min="1" max="1" width="3.21875" customWidth="1"/>
    <col min="2" max="2" width="12.21875" style="3" customWidth="1"/>
    <col min="3" max="3" width="15.88671875" style="1" customWidth="1"/>
    <col min="4" max="4" width="14.109375" style="2" customWidth="1"/>
    <col min="5" max="5" width="13" style="2" customWidth="1"/>
    <col min="6" max="6" width="14" style="2" customWidth="1"/>
    <col min="7" max="7" width="11.44140625" style="2" customWidth="1"/>
    <col min="8" max="8" width="4.5546875" customWidth="1"/>
    <col min="9" max="9" width="41.44140625" customWidth="1"/>
    <col min="10" max="10" width="19.21875" customWidth="1"/>
    <col min="11" max="11" width="20.5546875" customWidth="1"/>
    <col min="12" max="12" width="15.21875" customWidth="1"/>
    <col min="13" max="13" width="15.6640625" customWidth="1"/>
    <col min="14" max="14" width="12.6640625" customWidth="1"/>
    <col min="15" max="15" width="18.21875" customWidth="1"/>
    <col min="17" max="17" width="16" bestFit="1" customWidth="1"/>
  </cols>
  <sheetData>
    <row r="1" spans="2:15" x14ac:dyDescent="0.3">
      <c r="B1"/>
    </row>
    <row r="2" spans="2:15" ht="18" x14ac:dyDescent="0.3">
      <c r="D2" s="4" t="s">
        <v>0</v>
      </c>
      <c r="E2" s="5"/>
      <c r="F2" s="6"/>
      <c r="G2" s="6"/>
    </row>
    <row r="3" spans="2:15" ht="14.4" customHeight="1" x14ac:dyDescent="0.3">
      <c r="D3" s="7" t="s">
        <v>1</v>
      </c>
      <c r="E3" s="8" t="s">
        <v>2</v>
      </c>
      <c r="F3" s="6"/>
      <c r="G3" s="6"/>
    </row>
    <row r="4" spans="2:15" ht="14.4" customHeight="1" x14ac:dyDescent="0.3">
      <c r="D4" s="9" t="s">
        <v>3</v>
      </c>
      <c r="E4" s="10">
        <f>J82</f>
        <v>4444.1499999999996</v>
      </c>
      <c r="F4" s="6"/>
      <c r="G4" s="6"/>
    </row>
    <row r="6" spans="2:15" x14ac:dyDescent="0.3">
      <c r="D6" s="11" t="s">
        <v>4</v>
      </c>
      <c r="E6" s="12"/>
      <c r="F6" s="13" t="s">
        <v>5</v>
      </c>
      <c r="G6" s="14"/>
    </row>
    <row r="7" spans="2:15" x14ac:dyDescent="0.3">
      <c r="B7" s="15" t="s">
        <v>6</v>
      </c>
      <c r="C7" s="16" t="s">
        <v>7</v>
      </c>
      <c r="D7" s="17" t="s">
        <v>8</v>
      </c>
      <c r="E7" s="18" t="s">
        <v>9</v>
      </c>
      <c r="F7" s="17" t="s">
        <v>8</v>
      </c>
      <c r="G7" s="19" t="s">
        <v>9</v>
      </c>
      <c r="I7" s="20" t="s">
        <v>10</v>
      </c>
      <c r="J7" s="21"/>
      <c r="K7" s="21"/>
      <c r="L7" s="22"/>
      <c r="M7" s="23"/>
      <c r="N7" s="23"/>
      <c r="O7" s="23"/>
    </row>
    <row r="8" spans="2:15" x14ac:dyDescent="0.3">
      <c r="B8" s="24" t="s">
        <v>11</v>
      </c>
      <c r="C8" s="25">
        <v>44287</v>
      </c>
      <c r="D8" s="26">
        <v>3165</v>
      </c>
      <c r="E8" s="27"/>
      <c r="F8" s="28">
        <v>12479</v>
      </c>
      <c r="G8" s="29"/>
      <c r="I8" s="30" t="s">
        <v>12</v>
      </c>
      <c r="J8" s="31" t="s">
        <v>13</v>
      </c>
      <c r="K8" s="31" t="s">
        <v>14</v>
      </c>
      <c r="L8" s="32" t="s">
        <v>15</v>
      </c>
      <c r="M8" s="23"/>
      <c r="N8" s="23"/>
      <c r="O8" s="23"/>
    </row>
    <row r="9" spans="2:15" x14ac:dyDescent="0.3">
      <c r="B9" s="33" t="s">
        <v>16</v>
      </c>
      <c r="C9" s="34">
        <v>44295</v>
      </c>
      <c r="D9" s="35">
        <v>3322.25</v>
      </c>
      <c r="E9" s="36">
        <f>D9/D8-1</f>
        <v>4.9684044233807345E-2</v>
      </c>
      <c r="F9" s="37">
        <v>12527.4</v>
      </c>
      <c r="G9" s="38">
        <f>F9/F8-1</f>
        <v>3.8785159067231678E-3</v>
      </c>
      <c r="I9" s="39">
        <v>2022</v>
      </c>
      <c r="J9" s="40">
        <f>_xlfn.COVARIANCE.P(E113:E164,G113:G164)</f>
        <v>1.2328291074321533E-4</v>
      </c>
      <c r="K9" s="40">
        <f>_xlfn.VAR.P(G113:G164)</f>
        <v>1.7627707645957716E-4</v>
      </c>
      <c r="L9" s="41">
        <f>J9/K9</f>
        <v>0.69937006682480263</v>
      </c>
      <c r="M9" s="23"/>
      <c r="N9" s="23"/>
      <c r="O9" s="23"/>
    </row>
    <row r="10" spans="2:15" x14ac:dyDescent="0.3">
      <c r="B10" s="33" t="s">
        <v>17</v>
      </c>
      <c r="C10" s="34">
        <v>44302</v>
      </c>
      <c r="D10" s="35">
        <v>3195.15</v>
      </c>
      <c r="E10" s="36">
        <f t="shared" ref="E10:E73" si="0">D10/D9-1</f>
        <v>-3.8257205207314238E-2</v>
      </c>
      <c r="F10" s="37">
        <v>12298.05</v>
      </c>
      <c r="G10" s="38">
        <f t="shared" ref="G10:G73" si="1">F10/F9-1</f>
        <v>-1.8307869150821388E-2</v>
      </c>
      <c r="I10" s="42">
        <f>I9+1</f>
        <v>2023</v>
      </c>
      <c r="J10" s="43">
        <f>_xlfn.COVARIANCE.P(E60:E112,G60:G112)</f>
        <v>3.4428437533368746E-4</v>
      </c>
      <c r="K10" s="43">
        <f>_xlfn.VAR.P(G60:G112)</f>
        <v>4.290098706039656E-4</v>
      </c>
      <c r="L10" s="44">
        <f>J10/K10</f>
        <v>0.80250921697675515</v>
      </c>
      <c r="M10" s="23"/>
      <c r="N10" s="23"/>
      <c r="O10" s="23"/>
    </row>
    <row r="11" spans="2:15" x14ac:dyDescent="0.3">
      <c r="B11" s="33" t="s">
        <v>18</v>
      </c>
      <c r="C11" s="34">
        <v>44309</v>
      </c>
      <c r="D11" s="35">
        <v>3109.5</v>
      </c>
      <c r="E11" s="36">
        <f t="shared" si="0"/>
        <v>-2.6806253227548038E-2</v>
      </c>
      <c r="F11" s="37">
        <v>12105.6</v>
      </c>
      <c r="G11" s="38">
        <f t="shared" si="1"/>
        <v>-1.5648822374278781E-2</v>
      </c>
      <c r="I11" s="45">
        <f>I10+1</f>
        <v>2024</v>
      </c>
      <c r="J11" s="46">
        <f>_xlfn.COVARIANCE.P(E9:E59,G9:G59)</f>
        <v>3.4303791479611687E-4</v>
      </c>
      <c r="K11" s="46">
        <f>_xlfn.VAR.P(G9:G59)</f>
        <v>4.0701762586340962E-4</v>
      </c>
      <c r="L11" s="47">
        <f>J11/K11</f>
        <v>0.84280850016858089</v>
      </c>
      <c r="M11" s="23"/>
      <c r="N11" s="23"/>
      <c r="O11" s="23"/>
    </row>
    <row r="12" spans="2:15" ht="15" thickBot="1" x14ac:dyDescent="0.35">
      <c r="B12" s="33" t="s">
        <v>19</v>
      </c>
      <c r="C12" s="34">
        <v>44316</v>
      </c>
      <c r="D12" s="35">
        <v>3035.65</v>
      </c>
      <c r="E12" s="36">
        <f t="shared" si="0"/>
        <v>-2.3749799003055072E-2</v>
      </c>
      <c r="F12" s="37">
        <v>12364.35</v>
      </c>
      <c r="G12" s="38">
        <f t="shared" si="1"/>
        <v>2.1374405233941296E-2</v>
      </c>
      <c r="I12" s="48" t="s">
        <v>20</v>
      </c>
      <c r="J12" s="49">
        <f>_xlfn.COVARIANCE.P(E9:E164,G9:G164)</f>
        <v>2.7696712457326135E-4</v>
      </c>
      <c r="K12" s="49">
        <f>_xlfn.VAR.P(G9:G164)</f>
        <v>3.443942762214314E-4</v>
      </c>
      <c r="L12" s="50">
        <f>J12/K12</f>
        <v>0.80421523729152466</v>
      </c>
      <c r="M12" s="23"/>
      <c r="N12" s="23"/>
      <c r="O12" s="23"/>
    </row>
    <row r="13" spans="2:15" x14ac:dyDescent="0.3">
      <c r="B13" s="33" t="s">
        <v>21</v>
      </c>
      <c r="C13" s="34">
        <v>44323</v>
      </c>
      <c r="D13" s="35">
        <v>3132.9</v>
      </c>
      <c r="E13" s="36">
        <f t="shared" si="0"/>
        <v>3.2035972526476941E-2</v>
      </c>
      <c r="F13" s="37">
        <v>12563.1</v>
      </c>
      <c r="G13" s="38">
        <f t="shared" si="1"/>
        <v>1.6074439820936703E-2</v>
      </c>
      <c r="I13" s="23"/>
      <c r="J13" s="23"/>
      <c r="K13" s="23"/>
      <c r="L13" s="23"/>
      <c r="M13" s="23"/>
      <c r="N13" s="23"/>
      <c r="O13" s="23"/>
    </row>
    <row r="14" spans="2:15" x14ac:dyDescent="0.3">
      <c r="B14" s="33" t="s">
        <v>22</v>
      </c>
      <c r="C14" s="34">
        <v>44330</v>
      </c>
      <c r="D14" s="35">
        <v>3051.5</v>
      </c>
      <c r="E14" s="36">
        <f t="shared" si="0"/>
        <v>-2.598231670337392E-2</v>
      </c>
      <c r="F14" s="37">
        <v>12472.15</v>
      </c>
      <c r="G14" s="38">
        <f t="shared" si="1"/>
        <v>-7.2394552299990256E-3</v>
      </c>
      <c r="I14" s="20" t="s">
        <v>23</v>
      </c>
      <c r="J14" s="21"/>
      <c r="K14" s="21"/>
      <c r="L14" s="22"/>
      <c r="M14" s="23"/>
      <c r="N14" s="23"/>
      <c r="O14" s="23"/>
    </row>
    <row r="15" spans="2:15" x14ac:dyDescent="0.3">
      <c r="B15" s="33" t="s">
        <v>24</v>
      </c>
      <c r="C15" s="34">
        <v>44337</v>
      </c>
      <c r="D15" s="35">
        <v>3080.5</v>
      </c>
      <c r="E15" s="36">
        <f t="shared" si="0"/>
        <v>9.5035228576110242E-3</v>
      </c>
      <c r="F15" s="37">
        <v>12917.85</v>
      </c>
      <c r="G15" s="38">
        <f t="shared" si="1"/>
        <v>3.573561895904076E-2</v>
      </c>
      <c r="I15" s="51" t="s">
        <v>25</v>
      </c>
      <c r="J15" s="52"/>
      <c r="K15" s="52"/>
      <c r="L15" s="53" t="s">
        <v>26</v>
      </c>
      <c r="M15" s="23"/>
      <c r="N15" s="23"/>
      <c r="O15" s="23"/>
    </row>
    <row r="16" spans="2:15" x14ac:dyDescent="0.3">
      <c r="B16" s="33" t="s">
        <v>27</v>
      </c>
      <c r="C16" s="34">
        <v>44344</v>
      </c>
      <c r="D16" s="35">
        <v>3143.6</v>
      </c>
      <c r="E16" s="36">
        <f t="shared" si="0"/>
        <v>2.048368771303366E-2</v>
      </c>
      <c r="F16" s="37">
        <v>13117.05</v>
      </c>
      <c r="G16" s="38">
        <f t="shared" si="1"/>
        <v>1.5420522765011047E-2</v>
      </c>
      <c r="I16" s="54" t="s">
        <v>28</v>
      </c>
      <c r="J16" s="55"/>
      <c r="K16" s="55"/>
      <c r="L16" s="56">
        <v>0.1</v>
      </c>
      <c r="M16" s="23"/>
      <c r="N16" s="23"/>
      <c r="O16" s="23"/>
    </row>
    <row r="17" spans="2:16" x14ac:dyDescent="0.3">
      <c r="B17" s="33" t="s">
        <v>29</v>
      </c>
      <c r="C17" s="34">
        <v>44351</v>
      </c>
      <c r="D17" s="35">
        <v>3143.75</v>
      </c>
      <c r="E17" s="36">
        <f t="shared" si="0"/>
        <v>4.7715994401453798E-5</v>
      </c>
      <c r="F17" s="37">
        <v>13393.9</v>
      </c>
      <c r="G17" s="38">
        <f t="shared" si="1"/>
        <v>2.1106117610285802E-2</v>
      </c>
      <c r="I17" s="57" t="s">
        <v>30</v>
      </c>
      <c r="J17" s="58"/>
      <c r="K17" s="58"/>
      <c r="L17" s="59">
        <v>6.6928000000000001E-2</v>
      </c>
      <c r="M17" s="23"/>
      <c r="N17" s="23"/>
      <c r="O17" s="23"/>
    </row>
    <row r="18" spans="2:16" ht="15" thickBot="1" x14ac:dyDescent="0.35">
      <c r="B18" s="33" t="s">
        <v>31</v>
      </c>
      <c r="C18" s="34">
        <v>44358</v>
      </c>
      <c r="D18" s="35">
        <v>3273.8</v>
      </c>
      <c r="E18" s="36">
        <f t="shared" si="0"/>
        <v>4.1367793240556727E-2</v>
      </c>
      <c r="F18" s="37">
        <v>13563.85</v>
      </c>
      <c r="G18" s="38">
        <f t="shared" si="1"/>
        <v>1.2688611980080644E-2</v>
      </c>
      <c r="I18" s="60" t="s">
        <v>32</v>
      </c>
      <c r="J18" s="61"/>
      <c r="K18" s="61"/>
      <c r="L18" s="62">
        <f>(L16*L12)+L17</f>
        <v>0.14734952372915247</v>
      </c>
      <c r="M18" s="23"/>
      <c r="N18" s="23"/>
      <c r="O18" s="23"/>
    </row>
    <row r="19" spans="2:16" x14ac:dyDescent="0.3">
      <c r="B19" s="33" t="s">
        <v>33</v>
      </c>
      <c r="C19" s="34">
        <v>44365</v>
      </c>
      <c r="D19" s="35">
        <v>3297.3</v>
      </c>
      <c r="E19" s="36">
        <f t="shared" si="0"/>
        <v>7.1782027002260662E-3</v>
      </c>
      <c r="F19" s="37">
        <v>13386.55</v>
      </c>
      <c r="G19" s="38">
        <f t="shared" si="1"/>
        <v>-1.3071509932651937E-2</v>
      </c>
      <c r="I19" s="23"/>
      <c r="J19" s="23"/>
      <c r="K19" s="23"/>
      <c r="L19" s="23"/>
      <c r="M19" s="23"/>
      <c r="N19" s="23"/>
      <c r="O19" s="23"/>
    </row>
    <row r="20" spans="2:16" x14ac:dyDescent="0.3">
      <c r="B20" s="33" t="s">
        <v>34</v>
      </c>
      <c r="C20" s="34">
        <v>44372</v>
      </c>
      <c r="D20" s="35">
        <v>3380.8</v>
      </c>
      <c r="E20" s="36">
        <f t="shared" si="0"/>
        <v>2.5323749734631473E-2</v>
      </c>
      <c r="F20" s="37">
        <v>13539.4</v>
      </c>
      <c r="G20" s="38">
        <f t="shared" si="1"/>
        <v>1.1418177200249513E-2</v>
      </c>
      <c r="I20" s="63" t="s">
        <v>35</v>
      </c>
      <c r="J20" s="63"/>
      <c r="K20" s="63"/>
      <c r="L20" s="63"/>
      <c r="M20" s="23"/>
      <c r="N20" s="23"/>
      <c r="O20" s="23"/>
    </row>
    <row r="21" spans="2:16" x14ac:dyDescent="0.3">
      <c r="B21" s="33" t="s">
        <v>36</v>
      </c>
      <c r="C21" s="34">
        <v>44379</v>
      </c>
      <c r="D21" s="35">
        <v>3325.45</v>
      </c>
      <c r="E21" s="36">
        <f t="shared" si="0"/>
        <v>-1.6371864647420797E-2</v>
      </c>
      <c r="F21" s="37">
        <v>13494.45</v>
      </c>
      <c r="G21" s="38">
        <f t="shared" si="1"/>
        <v>-3.3199403223185264E-3</v>
      </c>
      <c r="I21" s="64" t="s">
        <v>25</v>
      </c>
      <c r="J21" s="65" t="s">
        <v>37</v>
      </c>
      <c r="K21" s="65" t="s">
        <v>38</v>
      </c>
      <c r="L21" s="53" t="s">
        <v>26</v>
      </c>
      <c r="M21" s="23"/>
      <c r="N21" s="23"/>
      <c r="O21" s="23"/>
    </row>
    <row r="22" spans="2:16" x14ac:dyDescent="0.3">
      <c r="B22" s="33" t="s">
        <v>39</v>
      </c>
      <c r="C22" s="34">
        <v>44386</v>
      </c>
      <c r="D22" s="35">
        <v>3208.15</v>
      </c>
      <c r="E22" s="36">
        <f t="shared" si="0"/>
        <v>-3.5273421642183722E-2</v>
      </c>
      <c r="F22" s="37">
        <v>13527.95</v>
      </c>
      <c r="G22" s="38">
        <f t="shared" si="1"/>
        <v>2.4825020656640273E-3</v>
      </c>
      <c r="I22" s="66" t="s">
        <v>40</v>
      </c>
      <c r="J22" s="67">
        <v>7818</v>
      </c>
      <c r="K22" s="67">
        <v>7688</v>
      </c>
      <c r="L22" s="68">
        <v>8021</v>
      </c>
      <c r="M22" s="69"/>
      <c r="N22" s="69"/>
      <c r="O22" s="69"/>
      <c r="P22" s="70"/>
    </row>
    <row r="23" spans="2:16" x14ac:dyDescent="0.3">
      <c r="B23" s="33" t="s">
        <v>41</v>
      </c>
      <c r="C23" s="34">
        <v>44393</v>
      </c>
      <c r="D23" s="35">
        <v>3194.8</v>
      </c>
      <c r="E23" s="36">
        <f t="shared" si="0"/>
        <v>-4.1612767482817059E-3</v>
      </c>
      <c r="F23" s="37">
        <v>13742.35</v>
      </c>
      <c r="G23" s="38">
        <f t="shared" si="1"/>
        <v>1.5848668867049387E-2</v>
      </c>
      <c r="I23" s="71" t="s">
        <v>42</v>
      </c>
      <c r="J23" s="72">
        <v>784</v>
      </c>
      <c r="K23" s="72">
        <v>779</v>
      </c>
      <c r="L23" s="73">
        <v>778</v>
      </c>
      <c r="M23" s="74"/>
      <c r="N23" s="74"/>
      <c r="O23" s="74"/>
    </row>
    <row r="24" spans="2:16" x14ac:dyDescent="0.3">
      <c r="B24" s="33" t="s">
        <v>43</v>
      </c>
      <c r="C24" s="34">
        <v>44400</v>
      </c>
      <c r="D24" s="35">
        <v>3212.85</v>
      </c>
      <c r="E24" s="36">
        <f t="shared" si="0"/>
        <v>5.6498059346437035E-3</v>
      </c>
      <c r="F24" s="37">
        <v>13687</v>
      </c>
      <c r="G24" s="38">
        <f t="shared" si="1"/>
        <v>-4.0276954087182792E-3</v>
      </c>
      <c r="I24" s="71" t="s">
        <v>44</v>
      </c>
      <c r="J24" s="75">
        <f>(J23/J22)</f>
        <v>0.10028140189306728</v>
      </c>
      <c r="K24" s="75">
        <f t="shared" ref="K24:L24" si="2">(K23/K22)</f>
        <v>0.1013267429760666</v>
      </c>
      <c r="L24" s="76">
        <f t="shared" si="2"/>
        <v>9.6995387108839301E-2</v>
      </c>
      <c r="M24" s="23"/>
      <c r="N24" s="23"/>
      <c r="O24" s="23"/>
    </row>
    <row r="25" spans="2:16" x14ac:dyDescent="0.3">
      <c r="B25" s="33" t="s">
        <v>45</v>
      </c>
      <c r="C25" s="34">
        <v>44407</v>
      </c>
      <c r="D25" s="35">
        <v>3167.45</v>
      </c>
      <c r="E25" s="36">
        <f t="shared" si="0"/>
        <v>-1.4130756182205828E-2</v>
      </c>
      <c r="F25" s="37">
        <v>13664.25</v>
      </c>
      <c r="G25" s="38">
        <f t="shared" si="1"/>
        <v>-1.6621611748374177E-3</v>
      </c>
      <c r="I25" s="57" t="s">
        <v>46</v>
      </c>
      <c r="J25" s="58"/>
      <c r="K25" s="58"/>
      <c r="L25" s="77">
        <v>0.25</v>
      </c>
      <c r="M25" s="23"/>
      <c r="N25" s="78"/>
      <c r="O25" s="23"/>
    </row>
    <row r="26" spans="2:16" ht="15" thickBot="1" x14ac:dyDescent="0.35">
      <c r="B26" s="33" t="s">
        <v>47</v>
      </c>
      <c r="C26" s="34">
        <v>44414</v>
      </c>
      <c r="D26" s="35">
        <v>3309.8</v>
      </c>
      <c r="E26" s="36">
        <f t="shared" si="0"/>
        <v>4.4941514467473853E-2</v>
      </c>
      <c r="F26" s="37">
        <v>13954.65</v>
      </c>
      <c r="G26" s="38">
        <f t="shared" si="1"/>
        <v>2.1252538558647505E-2</v>
      </c>
      <c r="I26" s="60" t="s">
        <v>48</v>
      </c>
      <c r="J26" s="61"/>
      <c r="K26" s="61"/>
      <c r="L26" s="62">
        <f>L24*(1-L25)</f>
        <v>7.2746540331629472E-2</v>
      </c>
      <c r="M26" s="23"/>
      <c r="N26" s="23"/>
      <c r="O26" s="23"/>
    </row>
    <row r="27" spans="2:16" x14ac:dyDescent="0.3">
      <c r="B27" s="33" t="s">
        <v>49</v>
      </c>
      <c r="C27" s="34">
        <v>44421</v>
      </c>
      <c r="D27" s="35">
        <v>3463.4</v>
      </c>
      <c r="E27" s="36">
        <f t="shared" si="0"/>
        <v>4.6407637923741696E-2</v>
      </c>
      <c r="F27" s="37">
        <v>14065.3</v>
      </c>
      <c r="G27" s="38">
        <f t="shared" si="1"/>
        <v>7.9292565560582506E-3</v>
      </c>
      <c r="I27" s="23"/>
      <c r="J27" s="23"/>
      <c r="K27" s="23"/>
      <c r="L27" s="23"/>
      <c r="M27" s="23"/>
      <c r="N27" s="23"/>
      <c r="O27" s="23"/>
    </row>
    <row r="28" spans="2:16" x14ac:dyDescent="0.3">
      <c r="B28" s="33" t="s">
        <v>50</v>
      </c>
      <c r="C28" s="34">
        <v>44428</v>
      </c>
      <c r="D28" s="35">
        <v>3559.5</v>
      </c>
      <c r="E28" s="36">
        <f t="shared" si="0"/>
        <v>2.7747300340705605E-2</v>
      </c>
      <c r="F28" s="37">
        <v>13943.95</v>
      </c>
      <c r="G28" s="38">
        <f t="shared" si="1"/>
        <v>-8.6276154792289672E-3</v>
      </c>
      <c r="I28" s="63" t="s">
        <v>51</v>
      </c>
      <c r="J28" s="63"/>
      <c r="K28" s="63"/>
      <c r="L28" s="63"/>
      <c r="M28" s="23"/>
      <c r="N28" s="23"/>
      <c r="O28" s="23"/>
    </row>
    <row r="29" spans="2:16" x14ac:dyDescent="0.3">
      <c r="B29" s="33" t="s">
        <v>52</v>
      </c>
      <c r="C29" s="34">
        <v>44435</v>
      </c>
      <c r="D29" s="35">
        <v>3720.15</v>
      </c>
      <c r="E29" s="36">
        <f t="shared" si="0"/>
        <v>4.5132743362831906E-2</v>
      </c>
      <c r="F29" s="37">
        <v>14192.5</v>
      </c>
      <c r="G29" s="38">
        <f t="shared" si="1"/>
        <v>1.7824934828366334E-2</v>
      </c>
      <c r="I29" s="64" t="s">
        <v>25</v>
      </c>
      <c r="J29" s="31"/>
      <c r="K29" s="65" t="s">
        <v>26</v>
      </c>
      <c r="L29" s="53" t="s">
        <v>53</v>
      </c>
      <c r="M29" s="23"/>
      <c r="N29" s="23"/>
      <c r="O29" s="23"/>
    </row>
    <row r="30" spans="2:16" x14ac:dyDescent="0.3">
      <c r="B30" s="33" t="s">
        <v>54</v>
      </c>
      <c r="C30" s="34">
        <v>44442</v>
      </c>
      <c r="D30" s="35">
        <v>3842.05</v>
      </c>
      <c r="E30" s="36">
        <f t="shared" si="0"/>
        <v>3.2767495934303836E-2</v>
      </c>
      <c r="F30" s="37">
        <v>14759.3</v>
      </c>
      <c r="G30" s="38">
        <f t="shared" si="1"/>
        <v>3.9936586225118864E-2</v>
      </c>
      <c r="I30" s="66" t="s">
        <v>55</v>
      </c>
      <c r="J30" s="79"/>
      <c r="K30" s="67">
        <v>1578861</v>
      </c>
      <c r="L30" s="80">
        <f>K30/$K$32</f>
        <v>0.99494543387599077</v>
      </c>
      <c r="M30" s="23"/>
      <c r="N30" s="23"/>
      <c r="O30" s="23"/>
    </row>
    <row r="31" spans="2:16" x14ac:dyDescent="0.3">
      <c r="B31" s="33" t="s">
        <v>56</v>
      </c>
      <c r="C31" s="34">
        <v>44448</v>
      </c>
      <c r="D31" s="35">
        <v>3791.4</v>
      </c>
      <c r="E31" s="36">
        <f t="shared" si="0"/>
        <v>-1.3183066331776017E-2</v>
      </c>
      <c r="F31" s="37">
        <v>14836.45</v>
      </c>
      <c r="G31" s="38">
        <f t="shared" si="1"/>
        <v>5.2272126726877755E-3</v>
      </c>
      <c r="I31" s="71" t="s">
        <v>57</v>
      </c>
      <c r="J31" s="81"/>
      <c r="K31" s="67">
        <v>8021</v>
      </c>
      <c r="L31" s="82">
        <f t="shared" ref="L31:L32" si="3">K31/$K$32</f>
        <v>5.0545661240092203E-3</v>
      </c>
      <c r="M31" s="23"/>
      <c r="N31" s="23"/>
      <c r="O31" s="23"/>
    </row>
    <row r="32" spans="2:16" x14ac:dyDescent="0.3">
      <c r="B32" s="33" t="s">
        <v>58</v>
      </c>
      <c r="C32" s="34">
        <v>44456</v>
      </c>
      <c r="D32" s="35">
        <v>3827.85</v>
      </c>
      <c r="E32" s="36">
        <f t="shared" si="0"/>
        <v>9.6138629529989306E-3</v>
      </c>
      <c r="F32" s="37">
        <v>15027.25</v>
      </c>
      <c r="G32" s="38">
        <f t="shared" si="1"/>
        <v>1.2860219257301964E-2</v>
      </c>
      <c r="I32" s="83" t="s">
        <v>59</v>
      </c>
      <c r="J32" s="84"/>
      <c r="K32" s="67">
        <f>K30+K31</f>
        <v>1586882</v>
      </c>
      <c r="L32" s="85">
        <f t="shared" si="3"/>
        <v>1</v>
      </c>
      <c r="M32" s="23"/>
      <c r="N32" s="23"/>
      <c r="O32" s="23"/>
    </row>
    <row r="33" spans="2:15" ht="15" thickBot="1" x14ac:dyDescent="0.35">
      <c r="B33" s="33" t="s">
        <v>60</v>
      </c>
      <c r="C33" s="34">
        <v>44463</v>
      </c>
      <c r="D33" s="35">
        <v>3871.3</v>
      </c>
      <c r="E33" s="36">
        <f t="shared" si="0"/>
        <v>1.1351019501809168E-2</v>
      </c>
      <c r="F33" s="37">
        <v>15191.95</v>
      </c>
      <c r="G33" s="38">
        <f t="shared" si="1"/>
        <v>1.0960089171338838E-2</v>
      </c>
      <c r="I33" s="60" t="s">
        <v>61</v>
      </c>
      <c r="J33" s="61"/>
      <c r="K33" s="61"/>
      <c r="L33" s="86">
        <f>(L18*L30)+(L26*L31)</f>
        <v>0.14697243801652132</v>
      </c>
      <c r="M33" s="23"/>
      <c r="N33" s="23"/>
      <c r="O33" s="23"/>
    </row>
    <row r="34" spans="2:15" x14ac:dyDescent="0.3">
      <c r="B34" s="33" t="s">
        <v>62</v>
      </c>
      <c r="C34" s="34">
        <v>44470</v>
      </c>
      <c r="D34" s="35">
        <v>3730.2</v>
      </c>
      <c r="E34" s="36">
        <f t="shared" si="0"/>
        <v>-3.6447704905329004E-2</v>
      </c>
      <c r="F34" s="37">
        <v>15013.95</v>
      </c>
      <c r="G34" s="38">
        <f t="shared" si="1"/>
        <v>-1.1716731558489846E-2</v>
      </c>
      <c r="I34" s="23"/>
      <c r="J34" s="23"/>
      <c r="K34" s="23"/>
      <c r="L34" s="23"/>
      <c r="M34" s="23"/>
      <c r="N34" s="23"/>
      <c r="O34" s="23"/>
    </row>
    <row r="35" spans="2:15" x14ac:dyDescent="0.3">
      <c r="B35" s="33" t="s">
        <v>63</v>
      </c>
      <c r="C35" s="34">
        <v>44477</v>
      </c>
      <c r="D35" s="35">
        <v>3935.65</v>
      </c>
      <c r="E35" s="36">
        <f t="shared" si="0"/>
        <v>5.5077475738566362E-2</v>
      </c>
      <c r="F35" s="37">
        <v>15365.2</v>
      </c>
      <c r="G35" s="38">
        <f t="shared" si="1"/>
        <v>2.3394909400923813E-2</v>
      </c>
      <c r="I35" s="20" t="s">
        <v>64</v>
      </c>
      <c r="J35" s="21"/>
      <c r="K35" s="21"/>
      <c r="L35" s="21"/>
      <c r="M35" s="21"/>
      <c r="N35" s="22"/>
      <c r="O35" s="23"/>
    </row>
    <row r="36" spans="2:15" x14ac:dyDescent="0.3">
      <c r="B36" s="33" t="s">
        <v>65</v>
      </c>
      <c r="C36" s="34">
        <v>44483</v>
      </c>
      <c r="D36" s="35">
        <v>3611.45</v>
      </c>
      <c r="E36" s="36">
        <f t="shared" si="0"/>
        <v>-8.2375211210346522E-2</v>
      </c>
      <c r="F36" s="37">
        <v>15769.25</v>
      </c>
      <c r="G36" s="38">
        <f t="shared" si="1"/>
        <v>2.6296436102361209E-2</v>
      </c>
      <c r="I36" s="64" t="s">
        <v>25</v>
      </c>
      <c r="J36" s="65" t="s">
        <v>66</v>
      </c>
      <c r="K36" s="65" t="s">
        <v>67</v>
      </c>
      <c r="L36" s="65" t="s">
        <v>37</v>
      </c>
      <c r="M36" s="65" t="s">
        <v>38</v>
      </c>
      <c r="N36" s="53" t="s">
        <v>26</v>
      </c>
      <c r="O36" s="23"/>
    </row>
    <row r="37" spans="2:15" x14ac:dyDescent="0.3">
      <c r="B37" s="33" t="s">
        <v>68</v>
      </c>
      <c r="C37" s="34">
        <v>44491</v>
      </c>
      <c r="D37" s="35">
        <v>3498.85</v>
      </c>
      <c r="E37" s="36">
        <f t="shared" si="0"/>
        <v>-3.1178612468676037E-2</v>
      </c>
      <c r="F37" s="37">
        <v>15399.7</v>
      </c>
      <c r="G37" s="38">
        <f t="shared" si="1"/>
        <v>-2.3434849469695762E-2</v>
      </c>
      <c r="I37" s="66" t="s">
        <v>69</v>
      </c>
      <c r="J37" s="67">
        <v>64097</v>
      </c>
      <c r="K37" s="67">
        <v>70120</v>
      </c>
      <c r="L37" s="67">
        <v>78048</v>
      </c>
      <c r="M37" s="67">
        <v>73373</v>
      </c>
      <c r="N37" s="68">
        <v>81503</v>
      </c>
      <c r="O37" s="23"/>
    </row>
    <row r="38" spans="2:15" x14ac:dyDescent="0.3">
      <c r="B38" s="33" t="s">
        <v>70</v>
      </c>
      <c r="C38" s="34">
        <v>44498</v>
      </c>
      <c r="D38" s="35">
        <v>3397.75</v>
      </c>
      <c r="E38" s="36">
        <f t="shared" si="0"/>
        <v>-2.889520842562554E-2</v>
      </c>
      <c r="F38" s="37">
        <v>15086.9</v>
      </c>
      <c r="G38" s="38">
        <f t="shared" si="1"/>
        <v>-2.0312084001636421E-2</v>
      </c>
      <c r="I38" s="71" t="s">
        <v>71</v>
      </c>
      <c r="J38" s="72">
        <v>25792</v>
      </c>
      <c r="K38" s="72">
        <v>32863</v>
      </c>
      <c r="L38" s="72">
        <v>40901</v>
      </c>
      <c r="M38" s="72">
        <v>42073</v>
      </c>
      <c r="N38" s="73">
        <v>44599</v>
      </c>
      <c r="O38" s="87"/>
    </row>
    <row r="39" spans="2:15" x14ac:dyDescent="0.3">
      <c r="B39" s="33" t="s">
        <v>72</v>
      </c>
      <c r="C39" s="34">
        <v>44504</v>
      </c>
      <c r="D39" s="35">
        <v>3508.65</v>
      </c>
      <c r="E39" s="36">
        <f t="shared" si="0"/>
        <v>3.2639246560223656E-2</v>
      </c>
      <c r="F39" s="37">
        <v>15376.9</v>
      </c>
      <c r="G39" s="38">
        <f t="shared" si="1"/>
        <v>1.9221974030450228E-2</v>
      </c>
      <c r="I39" s="83" t="s">
        <v>73</v>
      </c>
      <c r="J39" s="88">
        <f>J37-J38</f>
        <v>38305</v>
      </c>
      <c r="K39" s="88">
        <f t="shared" ref="K39:N39" si="4">K37-K38</f>
        <v>37257</v>
      </c>
      <c r="L39" s="88">
        <f t="shared" si="4"/>
        <v>37147</v>
      </c>
      <c r="M39" s="88">
        <f t="shared" si="4"/>
        <v>31300</v>
      </c>
      <c r="N39" s="89">
        <f t="shared" si="4"/>
        <v>36904</v>
      </c>
      <c r="O39" s="87"/>
    </row>
    <row r="40" spans="2:15" ht="15" thickBot="1" x14ac:dyDescent="0.35">
      <c r="B40" s="33" t="s">
        <v>74</v>
      </c>
      <c r="C40" s="34">
        <v>44512</v>
      </c>
      <c r="D40" s="35">
        <v>3526.05</v>
      </c>
      <c r="E40" s="36">
        <f t="shared" si="0"/>
        <v>4.9591723312385483E-3</v>
      </c>
      <c r="F40" s="37">
        <v>15579</v>
      </c>
      <c r="G40" s="38">
        <f t="shared" si="1"/>
        <v>1.3143091260267026E-2</v>
      </c>
      <c r="I40" s="90" t="s">
        <v>75</v>
      </c>
      <c r="J40" s="91"/>
      <c r="K40" s="92">
        <f>K39-J39</f>
        <v>-1048</v>
      </c>
      <c r="L40" s="92">
        <f t="shared" ref="L40:N40" si="5">L39-K39</f>
        <v>-110</v>
      </c>
      <c r="M40" s="92">
        <f t="shared" si="5"/>
        <v>-5847</v>
      </c>
      <c r="N40" s="93">
        <f t="shared" si="5"/>
        <v>5604</v>
      </c>
      <c r="O40" s="23"/>
    </row>
    <row r="41" spans="2:15" x14ac:dyDescent="0.3">
      <c r="B41" s="33" t="s">
        <v>76</v>
      </c>
      <c r="C41" s="34">
        <v>44518</v>
      </c>
      <c r="D41" s="35">
        <v>3475.7</v>
      </c>
      <c r="E41" s="36">
        <f t="shared" si="0"/>
        <v>-1.4279434494689602E-2</v>
      </c>
      <c r="F41" s="37">
        <v>15302.55</v>
      </c>
      <c r="G41" s="38">
        <f t="shared" si="1"/>
        <v>-1.7745041401887152E-2</v>
      </c>
      <c r="I41" s="23"/>
      <c r="J41" s="23"/>
      <c r="K41" s="23"/>
      <c r="L41" s="23"/>
      <c r="M41" s="23"/>
      <c r="N41" s="23"/>
      <c r="O41" s="23"/>
    </row>
    <row r="42" spans="2:15" x14ac:dyDescent="0.3">
      <c r="B42" s="33" t="s">
        <v>77</v>
      </c>
      <c r="C42" s="34">
        <v>44526</v>
      </c>
      <c r="D42" s="35">
        <v>3446.85</v>
      </c>
      <c r="E42" s="36">
        <f t="shared" si="0"/>
        <v>-8.3004862329889573E-3</v>
      </c>
      <c r="F42" s="37">
        <v>14707.2</v>
      </c>
      <c r="G42" s="38">
        <f t="shared" si="1"/>
        <v>-3.8905280492466887E-2</v>
      </c>
      <c r="I42" s="20" t="s">
        <v>78</v>
      </c>
      <c r="J42" s="21"/>
      <c r="K42" s="21"/>
      <c r="L42" s="21"/>
      <c r="M42" s="22"/>
      <c r="N42" s="23"/>
      <c r="O42" s="23"/>
    </row>
    <row r="43" spans="2:15" x14ac:dyDescent="0.3">
      <c r="B43" s="33" t="s">
        <v>79</v>
      </c>
      <c r="C43" s="34">
        <v>44533</v>
      </c>
      <c r="D43" s="35">
        <v>3640.45</v>
      </c>
      <c r="E43" s="36">
        <f t="shared" si="0"/>
        <v>5.6167225147598421E-2</v>
      </c>
      <c r="F43" s="37">
        <v>14856.3</v>
      </c>
      <c r="G43" s="38">
        <f t="shared" si="1"/>
        <v>1.0137891644908414E-2</v>
      </c>
      <c r="I43" s="64" t="s">
        <v>25</v>
      </c>
      <c r="J43" s="65" t="s">
        <v>67</v>
      </c>
      <c r="K43" s="65" t="s">
        <v>37</v>
      </c>
      <c r="L43" s="65" t="s">
        <v>38</v>
      </c>
      <c r="M43" s="53" t="s">
        <v>26</v>
      </c>
      <c r="N43" s="23"/>
      <c r="O43" s="23"/>
    </row>
    <row r="44" spans="2:15" x14ac:dyDescent="0.3">
      <c r="B44" s="33" t="s">
        <v>80</v>
      </c>
      <c r="C44" s="34">
        <v>44540</v>
      </c>
      <c r="D44" s="35">
        <v>3636.8</v>
      </c>
      <c r="E44" s="36">
        <f t="shared" si="0"/>
        <v>-1.0026233020642428E-3</v>
      </c>
      <c r="F44" s="37">
        <v>15155</v>
      </c>
      <c r="G44" s="38">
        <f t="shared" si="1"/>
        <v>2.0105948318221989E-2</v>
      </c>
      <c r="I44" s="66" t="s">
        <v>81</v>
      </c>
      <c r="J44" s="67">
        <v>48462</v>
      </c>
      <c r="K44" s="67">
        <v>57075</v>
      </c>
      <c r="L44" s="67">
        <v>62708</v>
      </c>
      <c r="M44" s="68">
        <v>67760</v>
      </c>
      <c r="N44" s="23"/>
      <c r="O44" s="23"/>
    </row>
    <row r="45" spans="2:15" x14ac:dyDescent="0.3">
      <c r="B45" s="33" t="s">
        <v>82</v>
      </c>
      <c r="C45" s="34">
        <v>44547</v>
      </c>
      <c r="D45" s="35">
        <v>3584.35</v>
      </c>
      <c r="E45" s="36">
        <f t="shared" si="0"/>
        <v>-1.4422019357677174E-2</v>
      </c>
      <c r="F45" s="37">
        <v>14673.15</v>
      </c>
      <c r="G45" s="38">
        <f t="shared" si="1"/>
        <v>-3.1794787198944241E-2</v>
      </c>
      <c r="I45" s="71" t="s">
        <v>83</v>
      </c>
      <c r="J45" s="94">
        <f>J44*(1-$L$25)</f>
        <v>36346.5</v>
      </c>
      <c r="K45" s="94">
        <f t="shared" ref="K45:M45" si="6">K44*(1-$L$25)</f>
        <v>42806.25</v>
      </c>
      <c r="L45" s="94">
        <f t="shared" si="6"/>
        <v>47031</v>
      </c>
      <c r="M45" s="95">
        <f t="shared" si="6"/>
        <v>50820</v>
      </c>
      <c r="N45" s="23"/>
      <c r="O45" s="23"/>
    </row>
    <row r="46" spans="2:15" x14ac:dyDescent="0.3">
      <c r="B46" s="33" t="s">
        <v>84</v>
      </c>
      <c r="C46" s="34">
        <v>44554</v>
      </c>
      <c r="D46" s="35">
        <v>3670.9</v>
      </c>
      <c r="E46" s="36">
        <f t="shared" si="0"/>
        <v>2.4146637465649379E-2</v>
      </c>
      <c r="F46" s="37">
        <v>14664.8</v>
      </c>
      <c r="G46" s="38">
        <f t="shared" si="1"/>
        <v>-5.690666285017576E-4</v>
      </c>
      <c r="I46" s="71" t="s">
        <v>85</v>
      </c>
      <c r="J46" s="72">
        <v>4065</v>
      </c>
      <c r="K46" s="72">
        <v>4604</v>
      </c>
      <c r="L46" s="72">
        <v>5022</v>
      </c>
      <c r="M46" s="73">
        <v>4985</v>
      </c>
      <c r="N46" s="23"/>
      <c r="O46" s="23"/>
    </row>
    <row r="47" spans="2:15" x14ac:dyDescent="0.3">
      <c r="B47" s="33" t="s">
        <v>86</v>
      </c>
      <c r="C47" s="34">
        <v>44561</v>
      </c>
      <c r="D47" s="35">
        <v>3738.35</v>
      </c>
      <c r="E47" s="36">
        <f t="shared" si="0"/>
        <v>1.837424064943205E-2</v>
      </c>
      <c r="F47" s="37">
        <v>14996.2</v>
      </c>
      <c r="G47" s="38">
        <f t="shared" si="1"/>
        <v>2.2598330696634195E-2</v>
      </c>
      <c r="I47" s="71" t="s">
        <v>87</v>
      </c>
      <c r="J47" s="94">
        <f>K40</f>
        <v>-1048</v>
      </c>
      <c r="K47" s="94">
        <f t="shared" ref="K47:M47" si="7">L40</f>
        <v>-110</v>
      </c>
      <c r="L47" s="94">
        <f t="shared" si="7"/>
        <v>-5847</v>
      </c>
      <c r="M47" s="95">
        <f t="shared" si="7"/>
        <v>5604</v>
      </c>
      <c r="N47" s="87"/>
      <c r="O47" s="23"/>
    </row>
    <row r="48" spans="2:15" x14ac:dyDescent="0.3">
      <c r="B48" s="33" t="s">
        <v>88</v>
      </c>
      <c r="C48" s="34">
        <v>44568</v>
      </c>
      <c r="D48" s="35">
        <v>3853.5</v>
      </c>
      <c r="E48" s="36">
        <f t="shared" si="0"/>
        <v>3.0802359329650697E-2</v>
      </c>
      <c r="F48" s="37">
        <v>15348.55</v>
      </c>
      <c r="G48" s="38">
        <f t="shared" si="1"/>
        <v>2.34959523079179E-2</v>
      </c>
      <c r="I48" s="96" t="s">
        <v>89</v>
      </c>
      <c r="J48" s="97">
        <v>-3176</v>
      </c>
      <c r="K48" s="97">
        <v>-2995</v>
      </c>
      <c r="L48" s="97">
        <v>-3100</v>
      </c>
      <c r="M48" s="98">
        <v>-2674</v>
      </c>
      <c r="N48" s="99"/>
      <c r="O48" s="99"/>
    </row>
    <row r="49" spans="2:17" x14ac:dyDescent="0.3">
      <c r="B49" s="33" t="s">
        <v>90</v>
      </c>
      <c r="C49" s="34">
        <v>44575</v>
      </c>
      <c r="D49" s="35">
        <v>3968.15</v>
      </c>
      <c r="E49" s="36">
        <f t="shared" si="0"/>
        <v>2.9752173348903677E-2</v>
      </c>
      <c r="F49" s="37">
        <v>15730.4</v>
      </c>
      <c r="G49" s="38">
        <f t="shared" si="1"/>
        <v>2.4878571591453236E-2</v>
      </c>
      <c r="I49" s="100" t="s">
        <v>91</v>
      </c>
      <c r="J49" s="101">
        <f>J45+J46-J47-J48</f>
        <v>44635.5</v>
      </c>
      <c r="K49" s="101">
        <f t="shared" ref="K49:M49" si="8">K45+K46-K47-K48</f>
        <v>50515.25</v>
      </c>
      <c r="L49" s="101">
        <f t="shared" si="8"/>
        <v>61000</v>
      </c>
      <c r="M49" s="102">
        <f t="shared" si="8"/>
        <v>52875</v>
      </c>
      <c r="N49" s="23"/>
      <c r="O49" s="23"/>
    </row>
    <row r="50" spans="2:17" x14ac:dyDescent="0.3">
      <c r="B50" s="33" t="s">
        <v>92</v>
      </c>
      <c r="C50" s="34">
        <v>44582</v>
      </c>
      <c r="D50" s="35">
        <v>3833.5</v>
      </c>
      <c r="E50" s="36">
        <f t="shared" si="0"/>
        <v>-3.3932689036452746E-2</v>
      </c>
      <c r="F50" s="37">
        <v>15180.8</v>
      </c>
      <c r="G50" s="38">
        <f t="shared" si="1"/>
        <v>-3.4938717387987595E-2</v>
      </c>
      <c r="I50" s="103" t="s">
        <v>93</v>
      </c>
      <c r="J50" s="104"/>
      <c r="K50" s="105">
        <f>K49/J49-1</f>
        <v>0.13172810879232899</v>
      </c>
      <c r="L50" s="105">
        <f t="shared" ref="L50:M50" si="9">L49/K49-1</f>
        <v>0.20755613403873086</v>
      </c>
      <c r="M50" s="106">
        <f t="shared" si="9"/>
        <v>-0.13319672131147542</v>
      </c>
      <c r="N50" s="23"/>
      <c r="O50" s="23"/>
    </row>
    <row r="51" spans="2:17" x14ac:dyDescent="0.3">
      <c r="B51" s="33" t="s">
        <v>94</v>
      </c>
      <c r="C51" s="34">
        <v>44589</v>
      </c>
      <c r="D51" s="35">
        <v>3690.05</v>
      </c>
      <c r="E51" s="36">
        <f t="shared" si="0"/>
        <v>-3.7420112169036068E-2</v>
      </c>
      <c r="F51" s="37">
        <v>14723.25</v>
      </c>
      <c r="G51" s="38">
        <f t="shared" si="1"/>
        <v>-3.0140045320404707E-2</v>
      </c>
      <c r="I51" s="96" t="s">
        <v>95</v>
      </c>
      <c r="J51" s="107"/>
      <c r="K51" s="108"/>
      <c r="L51" s="108"/>
      <c r="M51" s="109"/>
      <c r="N51" s="23"/>
      <c r="O51" s="23"/>
    </row>
    <row r="52" spans="2:17" ht="15" thickBot="1" x14ac:dyDescent="0.35">
      <c r="B52" s="33" t="s">
        <v>96</v>
      </c>
      <c r="C52" s="34">
        <v>44596</v>
      </c>
      <c r="D52" s="35">
        <v>3814.9</v>
      </c>
      <c r="E52" s="36">
        <f t="shared" si="0"/>
        <v>3.3834229888483947E-2</v>
      </c>
      <c r="F52" s="37">
        <v>15085.45</v>
      </c>
      <c r="G52" s="38">
        <f t="shared" si="1"/>
        <v>2.4600546754283137E-2</v>
      </c>
      <c r="I52" s="60" t="s">
        <v>97</v>
      </c>
      <c r="J52" s="61"/>
      <c r="K52" s="61"/>
      <c r="L52" s="61"/>
      <c r="M52" s="110">
        <f>AVERAGE(K50:M50)</f>
        <v>6.8695840506528147E-2</v>
      </c>
      <c r="N52" s="23"/>
      <c r="O52" s="23"/>
    </row>
    <row r="53" spans="2:17" x14ac:dyDescent="0.3">
      <c r="B53" s="33" t="s">
        <v>98</v>
      </c>
      <c r="C53" s="34">
        <v>44603</v>
      </c>
      <c r="D53" s="35">
        <v>3694.95</v>
      </c>
      <c r="E53" s="36">
        <f t="shared" si="0"/>
        <v>-3.1442501769378017E-2</v>
      </c>
      <c r="F53" s="37">
        <v>14891.3</v>
      </c>
      <c r="G53" s="38">
        <f t="shared" si="1"/>
        <v>-1.2870017135717005E-2</v>
      </c>
      <c r="I53" s="23"/>
      <c r="J53" s="23"/>
      <c r="K53" s="23"/>
      <c r="L53" s="111"/>
      <c r="M53" s="111"/>
      <c r="N53" s="23"/>
      <c r="O53" s="23"/>
    </row>
    <row r="54" spans="2:17" x14ac:dyDescent="0.3">
      <c r="B54" s="33" t="s">
        <v>99</v>
      </c>
      <c r="C54" s="34">
        <v>44610</v>
      </c>
      <c r="D54" s="35">
        <v>3793.9</v>
      </c>
      <c r="E54" s="36">
        <f t="shared" si="0"/>
        <v>2.6779794043221283E-2</v>
      </c>
      <c r="F54" s="37">
        <v>14710.7</v>
      </c>
      <c r="G54" s="38">
        <f t="shared" si="1"/>
        <v>-1.2127886752667516E-2</v>
      </c>
      <c r="I54" s="20" t="s">
        <v>100</v>
      </c>
      <c r="J54" s="21"/>
      <c r="K54" s="21"/>
      <c r="L54" s="21"/>
      <c r="M54" s="21"/>
      <c r="N54" s="21"/>
      <c r="O54" s="22"/>
    </row>
    <row r="55" spans="2:17" x14ac:dyDescent="0.3">
      <c r="B55" s="33" t="s">
        <v>101</v>
      </c>
      <c r="C55" s="34">
        <v>44617</v>
      </c>
      <c r="D55" s="35">
        <v>3520.75</v>
      </c>
      <c r="E55" s="36">
        <f t="shared" si="0"/>
        <v>-7.1997153325074503E-2</v>
      </c>
      <c r="F55" s="37">
        <v>14187.4</v>
      </c>
      <c r="G55" s="38">
        <f t="shared" si="1"/>
        <v>-3.5572746368289776E-2</v>
      </c>
      <c r="I55" s="64" t="s">
        <v>25</v>
      </c>
      <c r="J55" s="112" t="s">
        <v>102</v>
      </c>
      <c r="K55" s="65" t="s">
        <v>103</v>
      </c>
      <c r="L55" s="65" t="s">
        <v>104</v>
      </c>
      <c r="M55" s="65" t="s">
        <v>105</v>
      </c>
      <c r="N55" s="65" t="s">
        <v>106</v>
      </c>
      <c r="O55" s="53" t="s">
        <v>107</v>
      </c>
    </row>
    <row r="56" spans="2:17" x14ac:dyDescent="0.3">
      <c r="B56" s="33" t="s">
        <v>108</v>
      </c>
      <c r="C56" s="34">
        <v>44624</v>
      </c>
      <c r="D56" s="35">
        <v>3524.35</v>
      </c>
      <c r="E56" s="36">
        <f t="shared" si="0"/>
        <v>1.0225094085067887E-3</v>
      </c>
      <c r="F56" s="37">
        <v>13893.15</v>
      </c>
      <c r="G56" s="38">
        <f t="shared" si="1"/>
        <v>-2.074023429240035E-2</v>
      </c>
      <c r="I56" s="66" t="s">
        <v>109</v>
      </c>
      <c r="J56" s="113">
        <f>M49*(1+$M$52)</f>
        <v>56507.292566782671</v>
      </c>
      <c r="K56" s="113">
        <f>J56*(1+$M$52)</f>
        <v>60389.108524406096</v>
      </c>
      <c r="L56" s="113">
        <f t="shared" ref="L56:N56" si="10">K56*(1+$M$52)</f>
        <v>64537.589091930116</v>
      </c>
      <c r="M56" s="113">
        <f t="shared" si="10"/>
        <v>68971.05301886519</v>
      </c>
      <c r="N56" s="113">
        <f t="shared" si="10"/>
        <v>73709.077476616454</v>
      </c>
      <c r="O56" s="114">
        <f>N56*((1+J59)/(J58-J59))</f>
        <v>716609.26867761754</v>
      </c>
    </row>
    <row r="57" spans="2:17" x14ac:dyDescent="0.3">
      <c r="B57" s="33" t="s">
        <v>110</v>
      </c>
      <c r="C57" s="34">
        <v>44631</v>
      </c>
      <c r="D57" s="35">
        <v>3599.15</v>
      </c>
      <c r="E57" s="36">
        <f t="shared" si="0"/>
        <v>2.1223771759331544E-2</v>
      </c>
      <c r="F57" s="37">
        <v>14237.15</v>
      </c>
      <c r="G57" s="38">
        <f t="shared" si="1"/>
        <v>2.4760403508203632E-2</v>
      </c>
      <c r="I57" s="71" t="s">
        <v>111</v>
      </c>
      <c r="J57" s="115">
        <f>J56/(1+$J$58)^1</f>
        <v>49266.47815923256</v>
      </c>
      <c r="K57" s="115">
        <f>K56/(1+$J$58)^2</f>
        <v>45904.224495775677</v>
      </c>
      <c r="L57" s="115">
        <f>L56/(1+$J$58)^3</f>
        <v>42771.432123643324</v>
      </c>
      <c r="M57" s="115">
        <f>M56/(1+$J$58)^4</f>
        <v>39852.441164228301</v>
      </c>
      <c r="N57" s="115">
        <f>N56/(1+$J$58)^5</f>
        <v>37132.66046732018</v>
      </c>
      <c r="O57" s="116">
        <f>O56/(1+$J$58)^5</f>
        <v>361008.57007716934</v>
      </c>
    </row>
    <row r="58" spans="2:17" x14ac:dyDescent="0.3">
      <c r="B58" s="33" t="s">
        <v>112</v>
      </c>
      <c r="C58" s="34">
        <v>44637</v>
      </c>
      <c r="D58" s="35">
        <v>3672.75</v>
      </c>
      <c r="E58" s="36">
        <f t="shared" si="0"/>
        <v>2.0449272744953673E-2</v>
      </c>
      <c r="F58" s="37">
        <v>14721.7</v>
      </c>
      <c r="G58" s="38">
        <f t="shared" si="1"/>
        <v>3.4034199260385867E-2</v>
      </c>
      <c r="I58" s="71" t="s">
        <v>113</v>
      </c>
      <c r="J58" s="117">
        <f>L33</f>
        <v>0.14697243801652132</v>
      </c>
      <c r="K58" s="117"/>
      <c r="L58" s="117"/>
      <c r="M58" s="117"/>
      <c r="N58" s="117"/>
      <c r="O58" s="118"/>
    </row>
    <row r="59" spans="2:17" x14ac:dyDescent="0.3">
      <c r="B59" s="33" t="s">
        <v>114</v>
      </c>
      <c r="C59" s="34">
        <v>44645</v>
      </c>
      <c r="D59" s="35">
        <v>3707.45</v>
      </c>
      <c r="E59" s="36">
        <f t="shared" si="0"/>
        <v>9.4479613368727566E-3</v>
      </c>
      <c r="F59" s="37">
        <v>14651.7</v>
      </c>
      <c r="G59" s="38">
        <f t="shared" si="1"/>
        <v>-4.7548856450002619E-3</v>
      </c>
      <c r="I59" s="71" t="s">
        <v>115</v>
      </c>
      <c r="J59" s="119">
        <v>0.04</v>
      </c>
      <c r="K59" s="119"/>
      <c r="L59" s="119"/>
      <c r="M59" s="119"/>
      <c r="N59" s="119"/>
      <c r="O59" s="120"/>
    </row>
    <row r="60" spans="2:17" x14ac:dyDescent="0.3">
      <c r="B60" s="33" t="s">
        <v>116</v>
      </c>
      <c r="C60" s="34">
        <v>44652</v>
      </c>
      <c r="D60" s="35">
        <v>3758.75</v>
      </c>
      <c r="E60" s="36">
        <f t="shared" si="0"/>
        <v>1.3837003870585063E-2</v>
      </c>
      <c r="F60" s="37">
        <v>15087.3</v>
      </c>
      <c r="G60" s="38">
        <f t="shared" si="1"/>
        <v>2.9730338459018402E-2</v>
      </c>
      <c r="I60" s="71"/>
      <c r="J60" s="81"/>
      <c r="K60" s="81"/>
      <c r="L60" s="81"/>
      <c r="M60" s="81"/>
      <c r="N60" s="81"/>
      <c r="O60" s="121"/>
    </row>
    <row r="61" spans="2:17" x14ac:dyDescent="0.3">
      <c r="B61" s="33" t="s">
        <v>117</v>
      </c>
      <c r="C61" s="34">
        <v>44659</v>
      </c>
      <c r="D61" s="35">
        <v>3685.65</v>
      </c>
      <c r="E61" s="36">
        <f t="shared" si="0"/>
        <v>-1.9447954772198184E-2</v>
      </c>
      <c r="F61" s="37">
        <v>15342.4</v>
      </c>
      <c r="G61" s="38">
        <f t="shared" si="1"/>
        <v>1.6908260590032809E-2</v>
      </c>
      <c r="I61" s="122" t="s">
        <v>118</v>
      </c>
      <c r="J61" s="123">
        <f>SUM(J57:O57)</f>
        <v>575935.80648736935</v>
      </c>
      <c r="K61" s="123"/>
      <c r="L61" s="123"/>
      <c r="M61" s="123"/>
      <c r="N61" s="123"/>
      <c r="O61" s="124"/>
    </row>
    <row r="62" spans="2:17" x14ac:dyDescent="0.3">
      <c r="B62" s="33" t="s">
        <v>119</v>
      </c>
      <c r="C62" s="34">
        <v>44664</v>
      </c>
      <c r="D62" s="35">
        <v>3661.95</v>
      </c>
      <c r="E62" s="36">
        <f t="shared" si="0"/>
        <v>-6.4303447153148952E-3</v>
      </c>
      <c r="F62" s="37">
        <v>15138.55</v>
      </c>
      <c r="G62" s="38">
        <f t="shared" si="1"/>
        <v>-1.3286708728751706E-2</v>
      </c>
      <c r="I62" s="122" t="s">
        <v>120</v>
      </c>
      <c r="J62" s="123">
        <f>L22</f>
        <v>8021</v>
      </c>
      <c r="K62" s="123"/>
      <c r="L62" s="123"/>
      <c r="M62" s="123"/>
      <c r="N62" s="123"/>
      <c r="O62" s="124"/>
    </row>
    <row r="63" spans="2:17" x14ac:dyDescent="0.3">
      <c r="B63" s="33" t="s">
        <v>121</v>
      </c>
      <c r="C63" s="34">
        <v>44673</v>
      </c>
      <c r="D63" s="35">
        <v>3612.55</v>
      </c>
      <c r="E63" s="36">
        <f t="shared" si="0"/>
        <v>-1.3490080421633133E-2</v>
      </c>
      <c r="F63" s="37">
        <v>14894.85</v>
      </c>
      <c r="G63" s="38">
        <f t="shared" si="1"/>
        <v>-1.6097975037239309E-2</v>
      </c>
      <c r="I63" s="122" t="s">
        <v>122</v>
      </c>
      <c r="J63" s="125">
        <f>J61-J62</f>
        <v>567914.80648736935</v>
      </c>
      <c r="K63" s="125"/>
      <c r="L63" s="125"/>
      <c r="M63" s="125"/>
      <c r="N63" s="125"/>
      <c r="O63" s="126"/>
    </row>
    <row r="64" spans="2:17" ht="15.6" x14ac:dyDescent="0.3">
      <c r="B64" s="33" t="s">
        <v>123</v>
      </c>
      <c r="C64" s="34">
        <v>44680</v>
      </c>
      <c r="D64" s="35">
        <v>3546.7</v>
      </c>
      <c r="E64" s="36">
        <f t="shared" si="0"/>
        <v>-1.8228121410084341E-2</v>
      </c>
      <c r="F64" s="37">
        <v>14783.35</v>
      </c>
      <c r="G64" s="38">
        <f t="shared" si="1"/>
        <v>-7.4858088533956701E-3</v>
      </c>
      <c r="I64" s="127" t="s">
        <v>124</v>
      </c>
      <c r="J64" s="128">
        <v>361.75580000000002</v>
      </c>
      <c r="K64" s="128"/>
      <c r="L64" s="128"/>
      <c r="M64" s="128"/>
      <c r="N64" s="128"/>
      <c r="O64" s="129"/>
      <c r="Q64" s="130"/>
    </row>
    <row r="65" spans="2:22" ht="15" thickBot="1" x14ac:dyDescent="0.35">
      <c r="B65" s="33" t="s">
        <v>125</v>
      </c>
      <c r="C65" s="34">
        <v>44687</v>
      </c>
      <c r="D65" s="35">
        <v>3432.6</v>
      </c>
      <c r="E65" s="36">
        <f t="shared" si="0"/>
        <v>-3.2170750274903459E-2</v>
      </c>
      <c r="F65" s="37">
        <v>14145.75</v>
      </c>
      <c r="G65" s="38">
        <f t="shared" si="1"/>
        <v>-4.3129601883199697E-2</v>
      </c>
      <c r="I65" s="90" t="s">
        <v>126</v>
      </c>
      <c r="J65" s="131">
        <f>J63/J64</f>
        <v>1569.884453787249</v>
      </c>
      <c r="K65" s="131"/>
      <c r="L65" s="131"/>
      <c r="M65" s="131"/>
      <c r="N65" s="131"/>
      <c r="O65" s="132"/>
    </row>
    <row r="66" spans="2:22" x14ac:dyDescent="0.3">
      <c r="B66" s="33" t="s">
        <v>127</v>
      </c>
      <c r="C66" s="34">
        <v>44694</v>
      </c>
      <c r="D66" s="35">
        <v>3414.9</v>
      </c>
      <c r="E66" s="36">
        <f t="shared" si="0"/>
        <v>-5.1564411816115152E-3</v>
      </c>
      <c r="F66" s="37">
        <v>13471.5</v>
      </c>
      <c r="G66" s="38">
        <f t="shared" si="1"/>
        <v>-4.7664492868882857E-2</v>
      </c>
      <c r="I66" s="23"/>
      <c r="J66" s="23"/>
      <c r="K66" s="23"/>
      <c r="L66" s="23"/>
      <c r="M66" s="23"/>
      <c r="N66" s="23"/>
      <c r="O66" s="23"/>
    </row>
    <row r="67" spans="2:22" x14ac:dyDescent="0.3">
      <c r="B67" s="33" t="s">
        <v>128</v>
      </c>
      <c r="C67" s="34">
        <v>44701</v>
      </c>
      <c r="D67" s="35">
        <v>3293</v>
      </c>
      <c r="E67" s="36">
        <f t="shared" si="0"/>
        <v>-3.5696506486280755E-2</v>
      </c>
      <c r="F67" s="37">
        <v>13895.05</v>
      </c>
      <c r="G67" s="38">
        <f t="shared" si="1"/>
        <v>3.1440448353932338E-2</v>
      </c>
      <c r="I67" s="133" t="s">
        <v>129</v>
      </c>
      <c r="J67" s="134"/>
      <c r="K67" s="134"/>
      <c r="L67" s="134"/>
      <c r="M67" s="134"/>
      <c r="N67" s="135"/>
      <c r="O67" s="136"/>
    </row>
    <row r="68" spans="2:22" x14ac:dyDescent="0.3">
      <c r="B68" s="33" t="s">
        <v>130</v>
      </c>
      <c r="C68" s="34">
        <v>44708</v>
      </c>
      <c r="D68" s="35">
        <v>3261.3</v>
      </c>
      <c r="E68" s="36">
        <f t="shared" si="0"/>
        <v>-9.6264804129971848E-3</v>
      </c>
      <c r="F68" s="37">
        <v>13873.15</v>
      </c>
      <c r="G68" s="38">
        <f t="shared" si="1"/>
        <v>-1.5761008416665945E-3</v>
      </c>
      <c r="I68" s="64" t="s">
        <v>25</v>
      </c>
      <c r="J68" s="65" t="s">
        <v>66</v>
      </c>
      <c r="K68" s="65" t="s">
        <v>67</v>
      </c>
      <c r="L68" s="65" t="s">
        <v>37</v>
      </c>
      <c r="M68" s="65" t="s">
        <v>38</v>
      </c>
      <c r="N68" s="53" t="s">
        <v>26</v>
      </c>
      <c r="O68" s="23"/>
    </row>
    <row r="69" spans="2:22" ht="15" thickBot="1" x14ac:dyDescent="0.35">
      <c r="B69" s="33" t="s">
        <v>131</v>
      </c>
      <c r="C69" s="34">
        <v>44715</v>
      </c>
      <c r="D69" s="35">
        <v>3440.15</v>
      </c>
      <c r="E69" s="36">
        <f t="shared" si="0"/>
        <v>5.4840094440867126E-2</v>
      </c>
      <c r="F69" s="37">
        <v>14077.9</v>
      </c>
      <c r="G69" s="38">
        <f t="shared" si="1"/>
        <v>1.4758724586701577E-2</v>
      </c>
      <c r="I69" s="103" t="s">
        <v>132</v>
      </c>
      <c r="J69" s="137">
        <v>2862.75</v>
      </c>
      <c r="K69" s="137">
        <v>3738.35</v>
      </c>
      <c r="L69" s="137">
        <v>3256.7</v>
      </c>
      <c r="M69" s="137">
        <v>3793.4</v>
      </c>
      <c r="N69" s="138">
        <v>4302.75</v>
      </c>
      <c r="O69" s="23"/>
    </row>
    <row r="70" spans="2:22" ht="15" thickBot="1" x14ac:dyDescent="0.35">
      <c r="B70" s="33" t="s">
        <v>133</v>
      </c>
      <c r="C70" s="34">
        <v>44722</v>
      </c>
      <c r="D70" s="35">
        <v>3359.9</v>
      </c>
      <c r="E70" s="36">
        <f t="shared" si="0"/>
        <v>-2.3327471185849435E-2</v>
      </c>
      <c r="F70" s="37">
        <v>13781.75</v>
      </c>
      <c r="G70" s="38">
        <f t="shared" si="1"/>
        <v>-2.1036518230701962E-2</v>
      </c>
      <c r="I70" s="71" t="s">
        <v>134</v>
      </c>
      <c r="J70" s="115">
        <v>86.53</v>
      </c>
      <c r="K70" s="115">
        <v>88.01</v>
      </c>
      <c r="L70" s="115">
        <v>105.05</v>
      </c>
      <c r="M70" s="115">
        <v>115.58</v>
      </c>
      <c r="N70" s="116">
        <v>127.35</v>
      </c>
      <c r="O70" s="23"/>
      <c r="V70" s="139"/>
    </row>
    <row r="71" spans="2:22" x14ac:dyDescent="0.3">
      <c r="B71" s="33" t="s">
        <v>135</v>
      </c>
      <c r="C71" s="34">
        <v>44729</v>
      </c>
      <c r="D71" s="35">
        <v>3088.9</v>
      </c>
      <c r="E71" s="36">
        <f t="shared" si="0"/>
        <v>-8.06571624155481E-2</v>
      </c>
      <c r="F71" s="37">
        <v>12994.75</v>
      </c>
      <c r="G71" s="38">
        <f t="shared" si="1"/>
        <v>-5.7104504144974366E-2</v>
      </c>
      <c r="I71" s="71" t="s">
        <v>136</v>
      </c>
      <c r="J71" s="140">
        <f>J69/J70</f>
        <v>33.083901537039175</v>
      </c>
      <c r="K71" s="140">
        <f t="shared" ref="K71:N71" si="11">K69/K70</f>
        <v>42.476423133734798</v>
      </c>
      <c r="L71" s="140">
        <f t="shared" si="11"/>
        <v>31.001427891480247</v>
      </c>
      <c r="M71" s="140">
        <f t="shared" si="11"/>
        <v>32.82055718982523</v>
      </c>
      <c r="N71" s="141">
        <f t="shared" si="11"/>
        <v>33.786808009422849</v>
      </c>
      <c r="O71" s="23"/>
    </row>
    <row r="72" spans="2:22" x14ac:dyDescent="0.3">
      <c r="B72" s="33" t="s">
        <v>137</v>
      </c>
      <c r="C72" s="34">
        <v>44736</v>
      </c>
      <c r="D72" s="35">
        <v>3293.1</v>
      </c>
      <c r="E72" s="36">
        <f t="shared" si="0"/>
        <v>6.6107675871669436E-2</v>
      </c>
      <c r="F72" s="37">
        <v>13322.5</v>
      </c>
      <c r="G72" s="38">
        <f t="shared" si="1"/>
        <v>2.522172415783297E-2</v>
      </c>
      <c r="I72" s="142" t="s">
        <v>138</v>
      </c>
      <c r="J72" s="143">
        <f>AVERAGE(J71:N71)</f>
        <v>34.633823552300463</v>
      </c>
      <c r="K72" s="143"/>
      <c r="L72" s="143"/>
      <c r="M72" s="143"/>
      <c r="N72" s="144"/>
      <c r="O72" s="23"/>
    </row>
    <row r="73" spans="2:22" x14ac:dyDescent="0.3">
      <c r="B73" s="33" t="s">
        <v>139</v>
      </c>
      <c r="C73" s="34">
        <v>44743</v>
      </c>
      <c r="D73" s="35">
        <v>3315.1</v>
      </c>
      <c r="E73" s="36">
        <f t="shared" si="0"/>
        <v>6.6806352676809233E-3</v>
      </c>
      <c r="F73" s="37">
        <v>13394.45</v>
      </c>
      <c r="G73" s="38">
        <f t="shared" si="1"/>
        <v>5.4006380183899694E-3</v>
      </c>
      <c r="I73" s="71" t="s">
        <v>140</v>
      </c>
      <c r="J73" s="145"/>
      <c r="K73" s="145">
        <f>K70/J70-1</f>
        <v>1.7103894603027969E-2</v>
      </c>
      <c r="L73" s="145">
        <f t="shared" ref="L73:N73" si="12">L70/K70-1</f>
        <v>0.19361436200431759</v>
      </c>
      <c r="M73" s="145">
        <f t="shared" si="12"/>
        <v>0.10023798191337452</v>
      </c>
      <c r="N73" s="146">
        <f t="shared" si="12"/>
        <v>0.10183422737497838</v>
      </c>
      <c r="O73" s="23"/>
    </row>
    <row r="74" spans="2:22" x14ac:dyDescent="0.3">
      <c r="B74" s="33" t="s">
        <v>141</v>
      </c>
      <c r="C74" s="34">
        <v>44750</v>
      </c>
      <c r="D74" s="35">
        <v>3265.45</v>
      </c>
      <c r="E74" s="36">
        <f t="shared" ref="E74:E137" si="13">D74/D73-1</f>
        <v>-1.4976923773038497E-2</v>
      </c>
      <c r="F74" s="37">
        <v>13828.25</v>
      </c>
      <c r="G74" s="38">
        <f t="shared" ref="G74:G137" si="14">F74/F73-1</f>
        <v>3.2386548159872186E-2</v>
      </c>
      <c r="I74" s="142" t="s">
        <v>142</v>
      </c>
      <c r="J74" s="147">
        <f>AVERAGE(K73:N73)</f>
        <v>0.10319761647392461</v>
      </c>
      <c r="K74" s="147"/>
      <c r="L74" s="147"/>
      <c r="M74" s="147"/>
      <c r="N74" s="148"/>
      <c r="O74" s="23"/>
    </row>
    <row r="75" spans="2:22" x14ac:dyDescent="0.3">
      <c r="B75" s="33" t="s">
        <v>143</v>
      </c>
      <c r="C75" s="34">
        <v>44757</v>
      </c>
      <c r="D75" s="35">
        <v>2994.6</v>
      </c>
      <c r="E75" s="36">
        <f t="shared" si="13"/>
        <v>-8.2944157773048088E-2</v>
      </c>
      <c r="F75" s="37">
        <v>13790.2</v>
      </c>
      <c r="G75" s="38">
        <f t="shared" si="14"/>
        <v>-2.7516135447362977E-3</v>
      </c>
      <c r="I75" s="96" t="s">
        <v>144</v>
      </c>
      <c r="J75" s="149">
        <f>N71*(1+J74)</f>
        <v>37.273526064257389</v>
      </c>
      <c r="K75" s="149"/>
      <c r="L75" s="149"/>
      <c r="M75" s="149"/>
      <c r="N75" s="150"/>
      <c r="O75" s="23"/>
    </row>
    <row r="76" spans="2:22" ht="15" thickBot="1" x14ac:dyDescent="0.35">
      <c r="B76" s="33" t="s">
        <v>145</v>
      </c>
      <c r="C76" s="34">
        <v>44764</v>
      </c>
      <c r="D76" s="35">
        <v>3171</v>
      </c>
      <c r="E76" s="36">
        <f t="shared" si="13"/>
        <v>5.8906030855540026E-2</v>
      </c>
      <c r="F76" s="37">
        <v>14336.6</v>
      </c>
      <c r="G76" s="38">
        <f t="shared" si="14"/>
        <v>3.9622340502675879E-2</v>
      </c>
      <c r="I76" s="90" t="s">
        <v>146</v>
      </c>
      <c r="J76" s="131">
        <f>J72*J75</f>
        <v>1290.9247248815627</v>
      </c>
      <c r="K76" s="131"/>
      <c r="L76" s="131"/>
      <c r="M76" s="131"/>
      <c r="N76" s="132"/>
      <c r="O76" s="23"/>
    </row>
    <row r="77" spans="2:22" x14ac:dyDescent="0.3">
      <c r="B77" s="33" t="s">
        <v>147</v>
      </c>
      <c r="C77" s="34">
        <v>44771</v>
      </c>
      <c r="D77" s="35">
        <v>3301.9</v>
      </c>
      <c r="E77" s="36">
        <f t="shared" si="13"/>
        <v>4.1280353200882969E-2</v>
      </c>
      <c r="F77" s="37">
        <v>14665.65</v>
      </c>
      <c r="G77" s="38">
        <f t="shared" si="14"/>
        <v>2.2951745881171215E-2</v>
      </c>
      <c r="I77" s="99"/>
      <c r="J77" s="99"/>
      <c r="K77" s="99"/>
      <c r="L77" s="99"/>
      <c r="M77" s="99"/>
      <c r="N77" s="99"/>
      <c r="O77" s="23"/>
    </row>
    <row r="78" spans="2:22" x14ac:dyDescent="0.3">
      <c r="B78" s="33" t="s">
        <v>148</v>
      </c>
      <c r="C78" s="34">
        <v>44778</v>
      </c>
      <c r="D78" s="35">
        <v>3365.05</v>
      </c>
      <c r="E78" s="36">
        <f t="shared" si="13"/>
        <v>1.9125352070020307E-2</v>
      </c>
      <c r="F78" s="37">
        <v>14900.4</v>
      </c>
      <c r="G78" s="38">
        <f t="shared" si="14"/>
        <v>1.6006791379856944E-2</v>
      </c>
      <c r="I78" s="20" t="s">
        <v>149</v>
      </c>
      <c r="J78" s="22"/>
      <c r="K78" s="23"/>
      <c r="L78" s="23"/>
      <c r="M78" s="23"/>
      <c r="N78" s="23"/>
      <c r="O78" s="23"/>
    </row>
    <row r="79" spans="2:22" x14ac:dyDescent="0.3">
      <c r="B79" s="33" t="s">
        <v>150</v>
      </c>
      <c r="C79" s="34">
        <v>44785</v>
      </c>
      <c r="D79" s="35">
        <v>3401.55</v>
      </c>
      <c r="E79" s="36">
        <f t="shared" si="13"/>
        <v>1.0846792766823654E-2</v>
      </c>
      <c r="F79" s="37">
        <v>15140.55</v>
      </c>
      <c r="G79" s="38">
        <f t="shared" si="14"/>
        <v>1.6117016992832411E-2</v>
      </c>
      <c r="I79" s="30" t="s">
        <v>25</v>
      </c>
      <c r="J79" s="53" t="s">
        <v>151</v>
      </c>
      <c r="K79" s="23"/>
      <c r="L79" s="23"/>
      <c r="M79" s="23"/>
      <c r="N79" s="23"/>
      <c r="O79" s="23"/>
    </row>
    <row r="80" spans="2:22" x14ac:dyDescent="0.3">
      <c r="B80" s="33" t="s">
        <v>152</v>
      </c>
      <c r="C80" s="34">
        <v>44792</v>
      </c>
      <c r="D80" s="35">
        <v>3385.75</v>
      </c>
      <c r="E80" s="36">
        <f t="shared" si="13"/>
        <v>-4.644941276770953E-3</v>
      </c>
      <c r="F80" s="37">
        <v>15236.65</v>
      </c>
      <c r="G80" s="38">
        <f t="shared" si="14"/>
        <v>6.3471934639098837E-3</v>
      </c>
      <c r="I80" s="151" t="s">
        <v>153</v>
      </c>
      <c r="J80" s="152">
        <f>J65</f>
        <v>1569.884453787249</v>
      </c>
      <c r="K80" s="23"/>
      <c r="L80" s="23"/>
      <c r="M80" s="23"/>
      <c r="N80" s="23"/>
      <c r="O80" s="23"/>
    </row>
    <row r="81" spans="2:15" x14ac:dyDescent="0.3">
      <c r="B81" s="33" t="s">
        <v>154</v>
      </c>
      <c r="C81" s="34">
        <v>44799</v>
      </c>
      <c r="D81" s="35">
        <v>3222.2</v>
      </c>
      <c r="E81" s="36">
        <f t="shared" si="13"/>
        <v>-4.8305397622388058E-2</v>
      </c>
      <c r="F81" s="37">
        <v>15147.55</v>
      </c>
      <c r="G81" s="38">
        <f t="shared" si="14"/>
        <v>-5.8477421217918435E-3</v>
      </c>
      <c r="I81" s="151" t="s">
        <v>146</v>
      </c>
      <c r="J81" s="152">
        <f>J76</f>
        <v>1290.9247248815627</v>
      </c>
      <c r="K81" s="23"/>
      <c r="L81" s="23"/>
      <c r="M81" s="23"/>
      <c r="N81" s="23"/>
      <c r="O81" s="23"/>
    </row>
    <row r="82" spans="2:15" x14ac:dyDescent="0.3">
      <c r="B82" s="33" t="s">
        <v>155</v>
      </c>
      <c r="C82" s="34">
        <v>44806</v>
      </c>
      <c r="D82" s="35">
        <v>3130.4</v>
      </c>
      <c r="E82" s="36">
        <f t="shared" si="13"/>
        <v>-2.8489851654149301E-2</v>
      </c>
      <c r="F82" s="37">
        <v>15201.6</v>
      </c>
      <c r="G82" s="38">
        <f t="shared" si="14"/>
        <v>3.5682338067872799E-3</v>
      </c>
      <c r="I82" s="153" t="s">
        <v>156</v>
      </c>
      <c r="J82" s="154">
        <v>4444.1499999999996</v>
      </c>
      <c r="K82" s="23"/>
      <c r="L82" s="23"/>
      <c r="M82" s="23"/>
      <c r="N82" s="23"/>
      <c r="O82" s="23"/>
    </row>
    <row r="83" spans="2:15" x14ac:dyDescent="0.3">
      <c r="B83" s="33" t="s">
        <v>157</v>
      </c>
      <c r="C83" s="34">
        <v>44813</v>
      </c>
      <c r="D83" s="35">
        <v>3217.65</v>
      </c>
      <c r="E83" s="36">
        <f t="shared" si="13"/>
        <v>2.7871837464860771E-2</v>
      </c>
      <c r="F83" s="37">
        <v>15467.4</v>
      </c>
      <c r="G83" s="38">
        <f t="shared" si="14"/>
        <v>1.7485001578781079E-2</v>
      </c>
      <c r="K83" s="23"/>
      <c r="L83" s="23"/>
      <c r="M83" s="23"/>
      <c r="N83" s="23"/>
      <c r="O83" s="23"/>
    </row>
    <row r="84" spans="2:15" x14ac:dyDescent="0.3">
      <c r="B84" s="33" t="s">
        <v>158</v>
      </c>
      <c r="C84" s="34">
        <v>44820</v>
      </c>
      <c r="D84" s="35">
        <v>3008.7</v>
      </c>
      <c r="E84" s="36">
        <f t="shared" si="13"/>
        <v>-6.493869749662029E-2</v>
      </c>
      <c r="F84" s="37">
        <v>15243.95</v>
      </c>
      <c r="G84" s="38">
        <f t="shared" si="14"/>
        <v>-1.4446513311868747E-2</v>
      </c>
      <c r="I84" s="155" t="s">
        <v>159</v>
      </c>
      <c r="J84" s="156"/>
      <c r="K84" s="156"/>
      <c r="L84" s="156"/>
      <c r="M84" s="157"/>
    </row>
    <row r="85" spans="2:15" x14ac:dyDescent="0.3">
      <c r="B85" s="33" t="s">
        <v>160</v>
      </c>
      <c r="C85" s="34">
        <v>44827</v>
      </c>
      <c r="D85" s="35">
        <v>2982.05</v>
      </c>
      <c r="E85" s="36">
        <f t="shared" si="13"/>
        <v>-8.8576461594707112E-3</v>
      </c>
      <c r="F85" s="37">
        <v>15057.65</v>
      </c>
      <c r="G85" s="38">
        <f t="shared" si="14"/>
        <v>-1.2221241869725397E-2</v>
      </c>
      <c r="I85" s="158" t="s">
        <v>161</v>
      </c>
      <c r="J85" s="99"/>
      <c r="K85" s="99"/>
      <c r="L85" s="99"/>
      <c r="M85" s="159"/>
    </row>
    <row r="86" spans="2:15" x14ac:dyDescent="0.3">
      <c r="B86" s="33" t="s">
        <v>162</v>
      </c>
      <c r="C86" s="34">
        <v>44834</v>
      </c>
      <c r="D86" s="35">
        <v>3004.55</v>
      </c>
      <c r="E86" s="36">
        <f t="shared" si="13"/>
        <v>7.5451451182910745E-3</v>
      </c>
      <c r="F86" s="37">
        <v>14829.35</v>
      </c>
      <c r="G86" s="38">
        <f t="shared" si="14"/>
        <v>-1.5161728423757959E-2</v>
      </c>
      <c r="I86" s="158" t="s">
        <v>163</v>
      </c>
      <c r="J86" s="99"/>
      <c r="K86" s="99"/>
      <c r="L86" s="99"/>
      <c r="M86" s="159"/>
    </row>
    <row r="87" spans="2:15" x14ac:dyDescent="0.3">
      <c r="B87" s="33" t="s">
        <v>164</v>
      </c>
      <c r="C87" s="34">
        <v>44841</v>
      </c>
      <c r="D87" s="35">
        <v>3064.9</v>
      </c>
      <c r="E87" s="36">
        <f t="shared" si="13"/>
        <v>2.0086202592734415E-2</v>
      </c>
      <c r="F87" s="37">
        <v>15036.7</v>
      </c>
      <c r="G87" s="38">
        <f t="shared" si="14"/>
        <v>1.3982406511411583E-2</v>
      </c>
      <c r="I87" s="158" t="s">
        <v>165</v>
      </c>
      <c r="J87" s="99"/>
      <c r="K87" s="99"/>
      <c r="L87" s="99"/>
      <c r="M87" s="159"/>
    </row>
    <row r="88" spans="2:15" ht="16.8" customHeight="1" x14ac:dyDescent="0.3">
      <c r="B88" s="33" t="s">
        <v>166</v>
      </c>
      <c r="C88" s="34">
        <v>44848</v>
      </c>
      <c r="D88" s="35">
        <v>3099.15</v>
      </c>
      <c r="E88" s="36">
        <f t="shared" si="13"/>
        <v>1.1174915984208278E-2</v>
      </c>
      <c r="F88" s="37">
        <v>14815.1</v>
      </c>
      <c r="G88" s="38">
        <f t="shared" si="14"/>
        <v>-1.4737276131066013E-2</v>
      </c>
      <c r="I88" s="160" t="s">
        <v>167</v>
      </c>
      <c r="J88" s="161"/>
      <c r="K88" s="161"/>
      <c r="L88" s="161"/>
      <c r="M88" s="162"/>
    </row>
    <row r="89" spans="2:15" x14ac:dyDescent="0.3">
      <c r="B89" s="33" t="s">
        <v>168</v>
      </c>
      <c r="C89" s="34">
        <v>44855</v>
      </c>
      <c r="D89" s="35">
        <v>3137.4</v>
      </c>
      <c r="E89" s="36">
        <f t="shared" si="13"/>
        <v>1.2342093799912801E-2</v>
      </c>
      <c r="F89" s="37">
        <v>15081.1</v>
      </c>
      <c r="G89" s="38">
        <f t="shared" si="14"/>
        <v>1.7954654372903223E-2</v>
      </c>
    </row>
    <row r="90" spans="2:15" x14ac:dyDescent="0.3">
      <c r="B90" s="33" t="s">
        <v>169</v>
      </c>
      <c r="C90" s="34">
        <v>44862</v>
      </c>
      <c r="D90" s="35">
        <v>3163.25</v>
      </c>
      <c r="E90" s="36">
        <f t="shared" si="13"/>
        <v>8.2393064320775977E-3</v>
      </c>
      <c r="F90" s="37">
        <v>15241.6</v>
      </c>
      <c r="G90" s="38">
        <f t="shared" si="14"/>
        <v>1.0642459767523649E-2</v>
      </c>
    </row>
    <row r="91" spans="2:15" x14ac:dyDescent="0.3">
      <c r="B91" s="33" t="s">
        <v>170</v>
      </c>
      <c r="C91" s="34">
        <v>44869</v>
      </c>
      <c r="D91" s="35">
        <v>3217.4</v>
      </c>
      <c r="E91" s="36">
        <f t="shared" si="13"/>
        <v>1.7118469928080415E-2</v>
      </c>
      <c r="F91" s="37">
        <v>15530.85</v>
      </c>
      <c r="G91" s="38">
        <f t="shared" si="14"/>
        <v>1.8977666386731151E-2</v>
      </c>
    </row>
    <row r="92" spans="2:15" x14ac:dyDescent="0.3">
      <c r="B92" s="33" t="s">
        <v>171</v>
      </c>
      <c r="C92" s="34">
        <v>44876</v>
      </c>
      <c r="D92" s="35">
        <v>3315.95</v>
      </c>
      <c r="E92" s="36">
        <f t="shared" si="13"/>
        <v>3.0630322620749606E-2</v>
      </c>
      <c r="F92" s="37">
        <v>15649.1</v>
      </c>
      <c r="G92" s="38">
        <f t="shared" si="14"/>
        <v>7.6138781843877457E-3</v>
      </c>
    </row>
    <row r="93" spans="2:15" x14ac:dyDescent="0.3">
      <c r="B93" s="33" t="s">
        <v>172</v>
      </c>
      <c r="C93" s="34">
        <v>44883</v>
      </c>
      <c r="D93" s="35">
        <v>3343.45</v>
      </c>
      <c r="E93" s="36">
        <f t="shared" si="13"/>
        <v>8.2932492950738013E-3</v>
      </c>
      <c r="F93" s="37">
        <v>15550.85</v>
      </c>
      <c r="G93" s="38">
        <f t="shared" si="14"/>
        <v>-6.2783163249005014E-3</v>
      </c>
    </row>
    <row r="94" spans="2:15" x14ac:dyDescent="0.3">
      <c r="B94" s="33" t="s">
        <v>173</v>
      </c>
      <c r="C94" s="34">
        <v>44890</v>
      </c>
      <c r="D94" s="35">
        <v>3389.65</v>
      </c>
      <c r="E94" s="36">
        <f t="shared" si="13"/>
        <v>1.3818062181279789E-2</v>
      </c>
      <c r="F94" s="37">
        <v>15727.25</v>
      </c>
      <c r="G94" s="38">
        <f t="shared" si="14"/>
        <v>1.1343431387994762E-2</v>
      </c>
    </row>
    <row r="95" spans="2:15" x14ac:dyDescent="0.3">
      <c r="B95" s="33" t="s">
        <v>174</v>
      </c>
      <c r="C95" s="34">
        <v>44897</v>
      </c>
      <c r="D95" s="35">
        <v>3439.15</v>
      </c>
      <c r="E95" s="36">
        <f t="shared" si="13"/>
        <v>1.4603277624533506E-2</v>
      </c>
      <c r="F95" s="37">
        <v>15963.5</v>
      </c>
      <c r="G95" s="38">
        <f t="shared" si="14"/>
        <v>1.5021698008234052E-2</v>
      </c>
    </row>
    <row r="96" spans="2:15" x14ac:dyDescent="0.3">
      <c r="B96" s="33" t="s">
        <v>175</v>
      </c>
      <c r="C96" s="34">
        <v>44904</v>
      </c>
      <c r="D96" s="35">
        <v>3292.75</v>
      </c>
      <c r="E96" s="36">
        <f t="shared" si="13"/>
        <v>-4.2568657953273359E-2</v>
      </c>
      <c r="F96" s="37">
        <v>15812.75</v>
      </c>
      <c r="G96" s="38">
        <f t="shared" si="14"/>
        <v>-9.4434177968490962E-3</v>
      </c>
    </row>
    <row r="97" spans="2:7" x14ac:dyDescent="0.3">
      <c r="B97" s="33" t="s">
        <v>176</v>
      </c>
      <c r="C97" s="34">
        <v>44911</v>
      </c>
      <c r="D97" s="35">
        <v>3240.25</v>
      </c>
      <c r="E97" s="36">
        <f t="shared" si="13"/>
        <v>-1.5944119656821854E-2</v>
      </c>
      <c r="F97" s="37">
        <v>15636.35</v>
      </c>
      <c r="G97" s="38">
        <f t="shared" si="14"/>
        <v>-1.1155554852887661E-2</v>
      </c>
    </row>
    <row r="98" spans="2:7" x14ac:dyDescent="0.3">
      <c r="B98" s="33" t="s">
        <v>177</v>
      </c>
      <c r="C98" s="34">
        <v>44918</v>
      </c>
      <c r="D98" s="35">
        <v>3228.35</v>
      </c>
      <c r="E98" s="36">
        <f t="shared" si="13"/>
        <v>-3.6725561299282283E-3</v>
      </c>
      <c r="F98" s="37">
        <v>15046</v>
      </c>
      <c r="G98" s="38">
        <f t="shared" si="14"/>
        <v>-3.7754974786315287E-2</v>
      </c>
    </row>
    <row r="99" spans="2:7" x14ac:dyDescent="0.3">
      <c r="B99" s="33" t="s">
        <v>178</v>
      </c>
      <c r="C99" s="34">
        <v>44925</v>
      </c>
      <c r="D99" s="35">
        <v>3256.7</v>
      </c>
      <c r="E99" s="36">
        <f t="shared" si="13"/>
        <v>8.7815757275389039E-3</v>
      </c>
      <c r="F99" s="37">
        <v>15448.85</v>
      </c>
      <c r="G99" s="38">
        <f t="shared" si="14"/>
        <v>2.6774558022065742E-2</v>
      </c>
    </row>
    <row r="100" spans="2:7" x14ac:dyDescent="0.3">
      <c r="B100" s="33" t="s">
        <v>179</v>
      </c>
      <c r="C100" s="34">
        <v>44932</v>
      </c>
      <c r="D100" s="35">
        <v>3211.55</v>
      </c>
      <c r="E100" s="36">
        <f t="shared" si="13"/>
        <v>-1.3863727085700162E-2</v>
      </c>
      <c r="F100" s="37">
        <v>15272</v>
      </c>
      <c r="G100" s="38">
        <f t="shared" si="14"/>
        <v>-1.1447454017612935E-2</v>
      </c>
    </row>
    <row r="101" spans="2:7" x14ac:dyDescent="0.3">
      <c r="B101" s="33" t="s">
        <v>180</v>
      </c>
      <c r="C101" s="34">
        <v>44939</v>
      </c>
      <c r="D101" s="35">
        <v>3374.55</v>
      </c>
      <c r="E101" s="36">
        <f t="shared" si="13"/>
        <v>5.0754308667154469E-2</v>
      </c>
      <c r="F101" s="37">
        <v>15346.1</v>
      </c>
      <c r="G101" s="38">
        <f t="shared" si="14"/>
        <v>4.8520167627030819E-3</v>
      </c>
    </row>
    <row r="102" spans="2:7" x14ac:dyDescent="0.3">
      <c r="B102" s="33" t="s">
        <v>181</v>
      </c>
      <c r="C102" s="34">
        <v>44946</v>
      </c>
      <c r="D102" s="35">
        <v>3363.1</v>
      </c>
      <c r="E102" s="36">
        <f t="shared" si="13"/>
        <v>-3.3930449985924982E-3</v>
      </c>
      <c r="F102" s="37">
        <v>15347.9</v>
      </c>
      <c r="G102" s="38">
        <f t="shared" si="14"/>
        <v>1.1729364463941572E-4</v>
      </c>
    </row>
    <row r="103" spans="2:7" x14ac:dyDescent="0.3">
      <c r="B103" s="33" t="s">
        <v>182</v>
      </c>
      <c r="C103" s="34">
        <v>44953</v>
      </c>
      <c r="D103" s="35">
        <v>3411.05</v>
      </c>
      <c r="E103" s="36">
        <f t="shared" si="13"/>
        <v>1.4257678927180439E-2</v>
      </c>
      <c r="F103" s="37">
        <v>14874.75</v>
      </c>
      <c r="G103" s="38">
        <f t="shared" si="14"/>
        <v>-3.0828321789951652E-2</v>
      </c>
    </row>
    <row r="104" spans="2:7" x14ac:dyDescent="0.3">
      <c r="B104" s="33" t="s">
        <v>183</v>
      </c>
      <c r="C104" s="34">
        <v>44960</v>
      </c>
      <c r="D104" s="35">
        <v>3482.3</v>
      </c>
      <c r="E104" s="36">
        <f t="shared" si="13"/>
        <v>2.088799636475569E-2</v>
      </c>
      <c r="F104" s="37">
        <v>14962.35</v>
      </c>
      <c r="G104" s="38">
        <f t="shared" si="14"/>
        <v>5.889174607976555E-3</v>
      </c>
    </row>
    <row r="105" spans="2:7" x14ac:dyDescent="0.3">
      <c r="B105" s="33" t="s">
        <v>184</v>
      </c>
      <c r="C105" s="34">
        <v>44967</v>
      </c>
      <c r="D105" s="35">
        <v>3537.55</v>
      </c>
      <c r="E105" s="36">
        <f t="shared" si="13"/>
        <v>1.5865950664790462E-2</v>
      </c>
      <c r="F105" s="37">
        <v>15015.85</v>
      </c>
      <c r="G105" s="38">
        <f t="shared" si="14"/>
        <v>3.5756415268992647E-3</v>
      </c>
    </row>
    <row r="106" spans="2:7" x14ac:dyDescent="0.3">
      <c r="B106" s="33" t="s">
        <v>185</v>
      </c>
      <c r="C106" s="34">
        <v>44974</v>
      </c>
      <c r="D106" s="35">
        <v>3501.15</v>
      </c>
      <c r="E106" s="36">
        <f t="shared" si="13"/>
        <v>-1.0289607214032381E-2</v>
      </c>
      <c r="F106" s="37">
        <v>15003.95</v>
      </c>
      <c r="G106" s="38">
        <f t="shared" si="14"/>
        <v>-7.9249592930130675E-4</v>
      </c>
    </row>
    <row r="107" spans="2:7" x14ac:dyDescent="0.3">
      <c r="B107" s="33" t="s">
        <v>186</v>
      </c>
      <c r="C107" s="34">
        <v>44981</v>
      </c>
      <c r="D107" s="35">
        <v>3400.45</v>
      </c>
      <c r="E107" s="36">
        <f t="shared" si="13"/>
        <v>-2.8761978207160532E-2</v>
      </c>
      <c r="F107" s="37">
        <v>14630.45</v>
      </c>
      <c r="G107" s="38">
        <f t="shared" si="14"/>
        <v>-2.4893444726222125E-2</v>
      </c>
    </row>
    <row r="108" spans="2:7" x14ac:dyDescent="0.3">
      <c r="B108" s="33" t="s">
        <v>187</v>
      </c>
      <c r="C108" s="34">
        <v>44988</v>
      </c>
      <c r="D108" s="35">
        <v>3342.15</v>
      </c>
      <c r="E108" s="36">
        <f t="shared" si="13"/>
        <v>-1.714478966019195E-2</v>
      </c>
      <c r="F108" s="37">
        <v>14774.75</v>
      </c>
      <c r="G108" s="38">
        <f t="shared" si="14"/>
        <v>9.8629912272008013E-3</v>
      </c>
    </row>
    <row r="109" spans="2:7" x14ac:dyDescent="0.3">
      <c r="B109" s="33" t="s">
        <v>188</v>
      </c>
      <c r="C109" s="34">
        <v>44995</v>
      </c>
      <c r="D109" s="35">
        <v>3331</v>
      </c>
      <c r="E109" s="36">
        <f t="shared" si="13"/>
        <v>-3.3361758149694776E-3</v>
      </c>
      <c r="F109" s="37">
        <v>14679.85</v>
      </c>
      <c r="G109" s="38">
        <f t="shared" si="14"/>
        <v>-6.423120526574011E-3</v>
      </c>
    </row>
    <row r="110" spans="2:7" x14ac:dyDescent="0.3">
      <c r="B110" s="33" t="s">
        <v>189</v>
      </c>
      <c r="C110" s="34">
        <v>45002</v>
      </c>
      <c r="D110" s="35">
        <v>3179.3</v>
      </c>
      <c r="E110" s="36">
        <f t="shared" si="13"/>
        <v>-4.5541879315520783E-2</v>
      </c>
      <c r="F110" s="37">
        <v>14420.85</v>
      </c>
      <c r="G110" s="38">
        <f t="shared" si="14"/>
        <v>-1.7643232049373792E-2</v>
      </c>
    </row>
    <row r="111" spans="2:7" x14ac:dyDescent="0.3">
      <c r="B111" s="33" t="s">
        <v>190</v>
      </c>
      <c r="C111" s="34">
        <v>45009</v>
      </c>
      <c r="D111" s="35">
        <v>3120.5</v>
      </c>
      <c r="E111" s="36">
        <f t="shared" si="13"/>
        <v>-1.84946371842859E-2</v>
      </c>
      <c r="F111" s="37">
        <v>14279</v>
      </c>
      <c r="G111" s="38">
        <f t="shared" si="14"/>
        <v>-9.8364520815347189E-3</v>
      </c>
    </row>
    <row r="112" spans="2:7" x14ac:dyDescent="0.3">
      <c r="B112" s="33" t="s">
        <v>191</v>
      </c>
      <c r="C112" s="34">
        <v>45016</v>
      </c>
      <c r="D112" s="35">
        <v>3205.9</v>
      </c>
      <c r="E112" s="36">
        <f t="shared" si="13"/>
        <v>2.7367409069059434E-2</v>
      </c>
      <c r="F112" s="37">
        <v>14557.85</v>
      </c>
      <c r="G112" s="38">
        <f t="shared" si="14"/>
        <v>1.9528678478885064E-2</v>
      </c>
    </row>
    <row r="113" spans="2:7" x14ac:dyDescent="0.3">
      <c r="B113" s="33" t="s">
        <v>192</v>
      </c>
      <c r="C113" s="34">
        <v>45022</v>
      </c>
      <c r="D113" s="35">
        <v>3220.7</v>
      </c>
      <c r="E113" s="36">
        <f t="shared" si="13"/>
        <v>4.6164883496053744E-3</v>
      </c>
      <c r="F113" s="37">
        <v>14759.2</v>
      </c>
      <c r="G113" s="38">
        <f t="shared" si="14"/>
        <v>1.3831025872639291E-2</v>
      </c>
    </row>
    <row r="114" spans="2:7" x14ac:dyDescent="0.3">
      <c r="B114" s="33" t="s">
        <v>193</v>
      </c>
      <c r="C114" s="34">
        <v>45029</v>
      </c>
      <c r="D114" s="35">
        <v>3188.85</v>
      </c>
      <c r="E114" s="36">
        <f t="shared" si="13"/>
        <v>-9.8891545316235341E-3</v>
      </c>
      <c r="F114" s="37">
        <v>14954.25</v>
      </c>
      <c r="G114" s="38">
        <f t="shared" si="14"/>
        <v>1.3215485934196858E-2</v>
      </c>
    </row>
    <row r="115" spans="2:7" x14ac:dyDescent="0.3">
      <c r="B115" s="33" t="s">
        <v>194</v>
      </c>
      <c r="C115" s="34">
        <v>45037</v>
      </c>
      <c r="D115" s="35">
        <v>3160.85</v>
      </c>
      <c r="E115" s="36">
        <f t="shared" si="13"/>
        <v>-8.7805948853034721E-3</v>
      </c>
      <c r="F115" s="37">
        <v>14847.1</v>
      </c>
      <c r="G115" s="38">
        <f t="shared" si="14"/>
        <v>-7.1651871541534851E-3</v>
      </c>
    </row>
    <row r="116" spans="2:7" x14ac:dyDescent="0.3">
      <c r="B116" s="33" t="s">
        <v>195</v>
      </c>
      <c r="C116" s="34">
        <v>45044</v>
      </c>
      <c r="D116" s="35">
        <v>3219.25</v>
      </c>
      <c r="E116" s="36">
        <f t="shared" si="13"/>
        <v>1.8476042836578888E-2</v>
      </c>
      <c r="F116" s="37">
        <v>15219.55</v>
      </c>
      <c r="G116" s="38">
        <f t="shared" si="14"/>
        <v>2.508570697307877E-2</v>
      </c>
    </row>
    <row r="117" spans="2:7" x14ac:dyDescent="0.3">
      <c r="B117" s="33" t="s">
        <v>196</v>
      </c>
      <c r="C117" s="34">
        <v>45051</v>
      </c>
      <c r="D117" s="35">
        <v>3230.7</v>
      </c>
      <c r="E117" s="36">
        <f t="shared" si="13"/>
        <v>3.5567290517977135E-3</v>
      </c>
      <c r="F117" s="37">
        <v>15278.6</v>
      </c>
      <c r="G117" s="38">
        <f t="shared" si="14"/>
        <v>3.8798781829949558E-3</v>
      </c>
    </row>
    <row r="118" spans="2:7" x14ac:dyDescent="0.3">
      <c r="B118" s="33" t="s">
        <v>197</v>
      </c>
      <c r="C118" s="34">
        <v>45058</v>
      </c>
      <c r="D118" s="35">
        <v>3274.3</v>
      </c>
      <c r="E118" s="36">
        <f t="shared" si="13"/>
        <v>1.34955272851085E-2</v>
      </c>
      <c r="F118" s="37">
        <v>15477.35</v>
      </c>
      <c r="G118" s="38">
        <f t="shared" si="14"/>
        <v>1.3008390821148463E-2</v>
      </c>
    </row>
    <row r="119" spans="2:7" x14ac:dyDescent="0.3">
      <c r="B119" s="33" t="s">
        <v>198</v>
      </c>
      <c r="C119" s="34">
        <v>45065</v>
      </c>
      <c r="D119" s="35">
        <v>3222.85</v>
      </c>
      <c r="E119" s="36">
        <f t="shared" si="13"/>
        <v>-1.5713282228262626E-2</v>
      </c>
      <c r="F119" s="37">
        <v>15407.55</v>
      </c>
      <c r="G119" s="38">
        <f t="shared" si="14"/>
        <v>-4.509815956866059E-3</v>
      </c>
    </row>
    <row r="120" spans="2:7" x14ac:dyDescent="0.3">
      <c r="B120" s="33" t="s">
        <v>199</v>
      </c>
      <c r="C120" s="34">
        <v>45072</v>
      </c>
      <c r="D120" s="35">
        <v>3328.9</v>
      </c>
      <c r="E120" s="36">
        <f t="shared" si="13"/>
        <v>3.2905658035589758E-2</v>
      </c>
      <c r="F120" s="37">
        <v>15696.75</v>
      </c>
      <c r="G120" s="38">
        <f t="shared" si="14"/>
        <v>1.8770018594779891E-2</v>
      </c>
    </row>
    <row r="121" spans="2:7" x14ac:dyDescent="0.3">
      <c r="B121" s="33" t="s">
        <v>200</v>
      </c>
      <c r="C121" s="34">
        <v>45079</v>
      </c>
      <c r="D121" s="35">
        <v>3305.6</v>
      </c>
      <c r="E121" s="36">
        <f t="shared" si="13"/>
        <v>-6.9993090810779313E-3</v>
      </c>
      <c r="F121" s="37">
        <v>15811.2</v>
      </c>
      <c r="G121" s="38">
        <f t="shared" si="14"/>
        <v>7.2913182665201859E-3</v>
      </c>
    </row>
    <row r="122" spans="2:7" x14ac:dyDescent="0.3">
      <c r="B122" s="33" t="s">
        <v>201</v>
      </c>
      <c r="C122" s="34">
        <v>45086</v>
      </c>
      <c r="D122" s="35">
        <v>3209.3</v>
      </c>
      <c r="E122" s="36">
        <f t="shared" si="13"/>
        <v>-2.9132381413359054E-2</v>
      </c>
      <c r="F122" s="37">
        <v>15877.4</v>
      </c>
      <c r="G122" s="38">
        <f t="shared" si="14"/>
        <v>4.1869054847196718E-3</v>
      </c>
    </row>
    <row r="123" spans="2:7" x14ac:dyDescent="0.3">
      <c r="B123" s="33" t="s">
        <v>202</v>
      </c>
      <c r="C123" s="34">
        <v>45093</v>
      </c>
      <c r="D123" s="35">
        <v>3174.9</v>
      </c>
      <c r="E123" s="36">
        <f t="shared" si="13"/>
        <v>-1.071884834699155E-2</v>
      </c>
      <c r="F123" s="37">
        <v>16181.45</v>
      </c>
      <c r="G123" s="38">
        <f t="shared" si="14"/>
        <v>1.914986080844483E-2</v>
      </c>
    </row>
    <row r="124" spans="2:7" x14ac:dyDescent="0.3">
      <c r="B124" s="33" t="s">
        <v>203</v>
      </c>
      <c r="C124" s="34">
        <v>45100</v>
      </c>
      <c r="D124" s="35">
        <v>3216.35</v>
      </c>
      <c r="E124" s="36">
        <f t="shared" si="13"/>
        <v>1.3055529308009683E-2</v>
      </c>
      <c r="F124" s="37">
        <v>16011.8</v>
      </c>
      <c r="G124" s="38">
        <f t="shared" si="14"/>
        <v>-1.0484227309666361E-2</v>
      </c>
    </row>
    <row r="125" spans="2:7" x14ac:dyDescent="0.3">
      <c r="B125" s="33" t="s">
        <v>204</v>
      </c>
      <c r="C125" s="34">
        <v>45107</v>
      </c>
      <c r="D125" s="35">
        <v>3302.25</v>
      </c>
      <c r="E125" s="36">
        <f t="shared" si="13"/>
        <v>2.670729242775205E-2</v>
      </c>
      <c r="F125" s="37">
        <v>16430</v>
      </c>
      <c r="G125" s="38">
        <f t="shared" si="14"/>
        <v>2.6118237799622745E-2</v>
      </c>
    </row>
    <row r="126" spans="2:7" x14ac:dyDescent="0.3">
      <c r="B126" s="33" t="s">
        <v>205</v>
      </c>
      <c r="C126" s="34">
        <v>45114</v>
      </c>
      <c r="D126" s="35">
        <v>3329.25</v>
      </c>
      <c r="E126" s="36">
        <f t="shared" si="13"/>
        <v>8.1762434703611664E-3</v>
      </c>
      <c r="F126" s="37">
        <v>16564.900000000001</v>
      </c>
      <c r="G126" s="38">
        <f t="shared" si="14"/>
        <v>8.2105903834450711E-3</v>
      </c>
    </row>
    <row r="127" spans="2:7" x14ac:dyDescent="0.3">
      <c r="B127" s="33" t="s">
        <v>206</v>
      </c>
      <c r="C127" s="34">
        <v>45121</v>
      </c>
      <c r="D127" s="35">
        <v>3514.65</v>
      </c>
      <c r="E127" s="36">
        <f t="shared" si="13"/>
        <v>5.5688218067132311E-2</v>
      </c>
      <c r="F127" s="37">
        <v>16765.45</v>
      </c>
      <c r="G127" s="38">
        <f t="shared" si="14"/>
        <v>1.2106924883337644E-2</v>
      </c>
    </row>
    <row r="128" spans="2:7" x14ac:dyDescent="0.3">
      <c r="B128" s="33" t="s">
        <v>207</v>
      </c>
      <c r="C128" s="34">
        <v>45128</v>
      </c>
      <c r="D128" s="35">
        <v>3368.3</v>
      </c>
      <c r="E128" s="36">
        <f t="shared" si="13"/>
        <v>-4.1639992602392817E-2</v>
      </c>
      <c r="F128" s="37">
        <v>16904.3</v>
      </c>
      <c r="G128" s="38">
        <f t="shared" si="14"/>
        <v>8.2819131010500868E-3</v>
      </c>
    </row>
    <row r="129" spans="2:7" x14ac:dyDescent="0.3">
      <c r="B129" s="33" t="s">
        <v>208</v>
      </c>
      <c r="C129" s="34">
        <v>45135</v>
      </c>
      <c r="D129" s="35">
        <v>3355.4</v>
      </c>
      <c r="E129" s="36">
        <f t="shared" si="13"/>
        <v>-3.8298251343408252E-3</v>
      </c>
      <c r="F129" s="37">
        <v>16948.349999999999</v>
      </c>
      <c r="G129" s="38">
        <f t="shared" si="14"/>
        <v>2.6058458498725567E-3</v>
      </c>
    </row>
    <row r="130" spans="2:7" x14ac:dyDescent="0.3">
      <c r="B130" s="33" t="s">
        <v>209</v>
      </c>
      <c r="C130" s="34">
        <v>45142</v>
      </c>
      <c r="D130" s="35">
        <v>3443.55</v>
      </c>
      <c r="E130" s="36">
        <f t="shared" si="13"/>
        <v>2.6271085414555584E-2</v>
      </c>
      <c r="F130" s="37">
        <v>16890.599999999999</v>
      </c>
      <c r="G130" s="38">
        <f t="shared" si="14"/>
        <v>-3.4074113409270357E-3</v>
      </c>
    </row>
    <row r="131" spans="2:7" x14ac:dyDescent="0.3">
      <c r="B131" s="33" t="s">
        <v>210</v>
      </c>
      <c r="C131" s="34">
        <v>45149</v>
      </c>
      <c r="D131" s="35">
        <v>3448.8</v>
      </c>
      <c r="E131" s="36">
        <f t="shared" si="13"/>
        <v>1.5245894498410184E-3</v>
      </c>
      <c r="F131" s="37">
        <v>16860.150000000001</v>
      </c>
      <c r="G131" s="38">
        <f t="shared" si="14"/>
        <v>-1.8027778764517777E-3</v>
      </c>
    </row>
    <row r="132" spans="2:7" x14ac:dyDescent="0.3">
      <c r="B132" s="33" t="s">
        <v>211</v>
      </c>
      <c r="C132" s="34">
        <v>45156</v>
      </c>
      <c r="D132" s="35">
        <v>3367.1</v>
      </c>
      <c r="E132" s="36">
        <f t="shared" si="13"/>
        <v>-2.3689399211319961E-2</v>
      </c>
      <c r="F132" s="37">
        <v>16757.7</v>
      </c>
      <c r="G132" s="38">
        <f t="shared" si="14"/>
        <v>-6.0764583944983297E-3</v>
      </c>
    </row>
    <row r="133" spans="2:7" x14ac:dyDescent="0.3">
      <c r="B133" s="33" t="s">
        <v>212</v>
      </c>
      <c r="C133" s="34">
        <v>45163</v>
      </c>
      <c r="D133" s="35">
        <v>3381.3</v>
      </c>
      <c r="E133" s="36">
        <f t="shared" si="13"/>
        <v>4.2172789640937403E-3</v>
      </c>
      <c r="F133" s="37">
        <v>16820.849999999999</v>
      </c>
      <c r="G133" s="38">
        <f t="shared" si="14"/>
        <v>3.7684169068545881E-3</v>
      </c>
    </row>
    <row r="134" spans="2:7" x14ac:dyDescent="0.3">
      <c r="B134" s="33" t="s">
        <v>213</v>
      </c>
      <c r="C134" s="34">
        <v>45170</v>
      </c>
      <c r="D134" s="35">
        <v>3379.2</v>
      </c>
      <c r="E134" s="36">
        <f t="shared" si="13"/>
        <v>-6.2106290480001825E-4</v>
      </c>
      <c r="F134" s="37">
        <v>17074.55</v>
      </c>
      <c r="G134" s="38">
        <f t="shared" si="14"/>
        <v>1.5082472051055618E-2</v>
      </c>
    </row>
    <row r="135" spans="2:7" x14ac:dyDescent="0.3">
      <c r="B135" s="33" t="s">
        <v>214</v>
      </c>
      <c r="C135" s="34">
        <v>45177</v>
      </c>
      <c r="D135" s="35">
        <v>3441.9</v>
      </c>
      <c r="E135" s="36">
        <f t="shared" si="13"/>
        <v>1.85546875E-2</v>
      </c>
      <c r="F135" s="37">
        <v>17487.45</v>
      </c>
      <c r="G135" s="38">
        <f t="shared" si="14"/>
        <v>2.4182189281708899E-2</v>
      </c>
    </row>
    <row r="136" spans="2:7" x14ac:dyDescent="0.3">
      <c r="B136" s="33" t="s">
        <v>215</v>
      </c>
      <c r="C136" s="34">
        <v>45184</v>
      </c>
      <c r="D136" s="35">
        <v>3598.3</v>
      </c>
      <c r="E136" s="36">
        <f t="shared" si="13"/>
        <v>4.5440018594381071E-2</v>
      </c>
      <c r="F136" s="37">
        <v>17665.8</v>
      </c>
      <c r="G136" s="38">
        <f t="shared" si="14"/>
        <v>1.0198742526783322E-2</v>
      </c>
    </row>
    <row r="137" spans="2:7" x14ac:dyDescent="0.3">
      <c r="B137" s="33" t="s">
        <v>216</v>
      </c>
      <c r="C137" s="34">
        <v>45191</v>
      </c>
      <c r="D137" s="35">
        <v>3603.65</v>
      </c>
      <c r="E137" s="36">
        <f t="shared" si="13"/>
        <v>1.4868132173526671E-3</v>
      </c>
      <c r="F137" s="37">
        <v>17260.8</v>
      </c>
      <c r="G137" s="38">
        <f t="shared" si="14"/>
        <v>-2.2925652956560127E-2</v>
      </c>
    </row>
    <row r="138" spans="2:7" x14ac:dyDescent="0.3">
      <c r="B138" s="33" t="s">
        <v>217</v>
      </c>
      <c r="C138" s="34">
        <v>45198</v>
      </c>
      <c r="D138" s="35">
        <v>3528.6</v>
      </c>
      <c r="E138" s="36">
        <f t="shared" ref="E138:E164" si="15">D138/D137-1</f>
        <v>-2.0826106863874205E-2</v>
      </c>
      <c r="F138" s="37">
        <v>17292.599999999999</v>
      </c>
      <c r="G138" s="38">
        <f t="shared" ref="G138:G164" si="16">F138/F137-1</f>
        <v>1.8423248053391905E-3</v>
      </c>
    </row>
    <row r="139" spans="2:7" x14ac:dyDescent="0.3">
      <c r="B139" s="33" t="s">
        <v>218</v>
      </c>
      <c r="C139" s="34">
        <v>45205</v>
      </c>
      <c r="D139" s="35">
        <v>3621.4</v>
      </c>
      <c r="E139" s="36">
        <f t="shared" si="15"/>
        <v>2.6299382191237397E-2</v>
      </c>
      <c r="F139" s="37">
        <v>17293.599999999999</v>
      </c>
      <c r="G139" s="38">
        <f t="shared" si="16"/>
        <v>5.7828203971599379E-5</v>
      </c>
    </row>
    <row r="140" spans="2:7" x14ac:dyDescent="0.3">
      <c r="B140" s="33" t="s">
        <v>219</v>
      </c>
      <c r="C140" s="34">
        <v>45212</v>
      </c>
      <c r="D140" s="35">
        <v>3570.85</v>
      </c>
      <c r="E140" s="36">
        <f t="shared" si="15"/>
        <v>-1.3958690009388652E-2</v>
      </c>
      <c r="F140" s="37">
        <v>17390.349999999999</v>
      </c>
      <c r="G140" s="38">
        <f t="shared" si="16"/>
        <v>5.5945552111764663E-3</v>
      </c>
    </row>
    <row r="141" spans="2:7" x14ac:dyDescent="0.3">
      <c r="B141" s="33" t="s">
        <v>220</v>
      </c>
      <c r="C141" s="34">
        <v>45219</v>
      </c>
      <c r="D141" s="35">
        <v>3494.55</v>
      </c>
      <c r="E141" s="36">
        <f t="shared" si="15"/>
        <v>-2.1367461528767562E-2</v>
      </c>
      <c r="F141" s="37">
        <v>17208.75</v>
      </c>
      <c r="G141" s="38">
        <f t="shared" si="16"/>
        <v>-1.0442573036195224E-2</v>
      </c>
    </row>
    <row r="142" spans="2:7" x14ac:dyDescent="0.3">
      <c r="B142" s="33" t="s">
        <v>221</v>
      </c>
      <c r="C142" s="34">
        <v>45226</v>
      </c>
      <c r="D142" s="35">
        <v>3350.95</v>
      </c>
      <c r="E142" s="36">
        <f t="shared" si="15"/>
        <v>-4.1092558412385127E-2</v>
      </c>
      <c r="F142" s="37">
        <v>16765.45</v>
      </c>
      <c r="G142" s="38">
        <f t="shared" si="16"/>
        <v>-2.5760151085930105E-2</v>
      </c>
    </row>
    <row r="143" spans="2:7" x14ac:dyDescent="0.3">
      <c r="B143" s="33" t="s">
        <v>222</v>
      </c>
      <c r="C143" s="34">
        <v>45233</v>
      </c>
      <c r="D143" s="35">
        <v>3350.9</v>
      </c>
      <c r="E143" s="36">
        <f t="shared" si="15"/>
        <v>-1.4921141765711354E-5</v>
      </c>
      <c r="F143" s="37">
        <v>17000.95</v>
      </c>
      <c r="G143" s="38">
        <f t="shared" si="16"/>
        <v>1.4046744942724398E-2</v>
      </c>
    </row>
    <row r="144" spans="2:7" x14ac:dyDescent="0.3">
      <c r="B144" s="33" t="s">
        <v>223</v>
      </c>
      <c r="C144" s="34">
        <v>45240</v>
      </c>
      <c r="D144" s="35">
        <v>3333.45</v>
      </c>
      <c r="E144" s="36">
        <f t="shared" si="15"/>
        <v>-5.2075561789370894E-3</v>
      </c>
      <c r="F144" s="37">
        <v>17256.599999999999</v>
      </c>
      <c r="G144" s="38">
        <f t="shared" si="16"/>
        <v>1.5037394969104501E-2</v>
      </c>
    </row>
    <row r="145" spans="2:7" x14ac:dyDescent="0.3">
      <c r="B145" s="33" t="s">
        <v>224</v>
      </c>
      <c r="C145" s="34">
        <v>45247</v>
      </c>
      <c r="D145" s="35">
        <v>3502.45</v>
      </c>
      <c r="E145" s="36">
        <f t="shared" si="15"/>
        <v>5.0698225562105348E-2</v>
      </c>
      <c r="F145" s="37">
        <v>17600.5</v>
      </c>
      <c r="G145" s="38">
        <f t="shared" si="16"/>
        <v>1.9928607025717859E-2</v>
      </c>
    </row>
    <row r="146" spans="2:7" x14ac:dyDescent="0.3">
      <c r="B146" s="33" t="s">
        <v>225</v>
      </c>
      <c r="C146" s="34">
        <v>45254</v>
      </c>
      <c r="D146" s="35">
        <v>3457.1</v>
      </c>
      <c r="E146" s="36">
        <f t="shared" si="15"/>
        <v>-1.2948079201701601E-2</v>
      </c>
      <c r="F146" s="37">
        <v>17643.5</v>
      </c>
      <c r="G146" s="38">
        <f t="shared" si="16"/>
        <v>2.4431124115791292E-3</v>
      </c>
    </row>
    <row r="147" spans="2:7" x14ac:dyDescent="0.3">
      <c r="B147" s="33" t="s">
        <v>226</v>
      </c>
      <c r="C147" s="34">
        <v>45261</v>
      </c>
      <c r="D147" s="35">
        <v>3511.65</v>
      </c>
      <c r="E147" s="36">
        <f t="shared" si="15"/>
        <v>1.5779121228775672E-2</v>
      </c>
      <c r="F147" s="37">
        <v>18115.349999999999</v>
      </c>
      <c r="G147" s="38">
        <f t="shared" si="16"/>
        <v>2.6743559951256657E-2</v>
      </c>
    </row>
    <row r="148" spans="2:7" x14ac:dyDescent="0.3">
      <c r="B148" s="33" t="s">
        <v>227</v>
      </c>
      <c r="C148" s="34">
        <v>45268</v>
      </c>
      <c r="D148" s="35">
        <v>3626.7</v>
      </c>
      <c r="E148" s="36">
        <f t="shared" si="15"/>
        <v>3.2762376660544046E-2</v>
      </c>
      <c r="F148" s="37">
        <v>18703.5</v>
      </c>
      <c r="G148" s="38">
        <f t="shared" si="16"/>
        <v>3.2466941019632545E-2</v>
      </c>
    </row>
    <row r="149" spans="2:7" x14ac:dyDescent="0.3">
      <c r="B149" s="33" t="s">
        <v>228</v>
      </c>
      <c r="C149" s="34">
        <v>45275</v>
      </c>
      <c r="D149" s="35">
        <v>3861</v>
      </c>
      <c r="E149" s="36">
        <f t="shared" si="15"/>
        <v>6.4604185623293953E-2</v>
      </c>
      <c r="F149" s="37">
        <v>19145.05</v>
      </c>
      <c r="G149" s="38">
        <f t="shared" si="16"/>
        <v>2.3607880877910548E-2</v>
      </c>
    </row>
    <row r="150" spans="2:7" x14ac:dyDescent="0.3">
      <c r="B150" s="33" t="s">
        <v>229</v>
      </c>
      <c r="C150" s="34">
        <v>45282</v>
      </c>
      <c r="D150" s="35">
        <v>3824</v>
      </c>
      <c r="E150" s="36">
        <f t="shared" si="15"/>
        <v>-9.5830095830096163E-3</v>
      </c>
      <c r="F150" s="37">
        <v>19054.7</v>
      </c>
      <c r="G150" s="38">
        <f t="shared" si="16"/>
        <v>-4.7192355204086489E-3</v>
      </c>
    </row>
    <row r="151" spans="2:7" x14ac:dyDescent="0.3">
      <c r="B151" s="33" t="s">
        <v>230</v>
      </c>
      <c r="C151" s="34">
        <v>45289</v>
      </c>
      <c r="D151" s="35">
        <v>3793.4</v>
      </c>
      <c r="E151" s="36">
        <f t="shared" si="15"/>
        <v>-8.0020920502091863E-3</v>
      </c>
      <c r="F151" s="37">
        <v>19429.150000000001</v>
      </c>
      <c r="G151" s="38">
        <f t="shared" si="16"/>
        <v>1.9651319621930563E-2</v>
      </c>
    </row>
    <row r="152" spans="2:7" x14ac:dyDescent="0.3">
      <c r="B152" s="33" t="s">
        <v>231</v>
      </c>
      <c r="C152" s="34">
        <v>45296</v>
      </c>
      <c r="D152" s="35">
        <v>3737.9</v>
      </c>
      <c r="E152" s="36">
        <f t="shared" si="15"/>
        <v>-1.4630674329097926E-2</v>
      </c>
      <c r="F152" s="37">
        <v>19590.599999999999</v>
      </c>
      <c r="G152" s="38">
        <f t="shared" si="16"/>
        <v>8.3096790132350939E-3</v>
      </c>
    </row>
    <row r="153" spans="2:7" x14ac:dyDescent="0.3">
      <c r="B153" s="33" t="s">
        <v>232</v>
      </c>
      <c r="C153" s="34">
        <v>45303</v>
      </c>
      <c r="D153" s="35">
        <v>3882.8</v>
      </c>
      <c r="E153" s="36">
        <f t="shared" si="15"/>
        <v>3.8765081997913287E-2</v>
      </c>
      <c r="F153" s="37">
        <v>19745.599999999999</v>
      </c>
      <c r="G153" s="38">
        <f t="shared" si="16"/>
        <v>7.9119577756678883E-3</v>
      </c>
    </row>
    <row r="154" spans="2:7" x14ac:dyDescent="0.3">
      <c r="B154" s="33" t="s">
        <v>233</v>
      </c>
      <c r="C154" s="34">
        <v>45311</v>
      </c>
      <c r="D154" s="35">
        <v>3860.65</v>
      </c>
      <c r="E154" s="36">
        <f t="shared" si="15"/>
        <v>-5.7046461316575536E-3</v>
      </c>
      <c r="F154" s="37">
        <v>19601.900000000001</v>
      </c>
      <c r="G154" s="38">
        <f t="shared" si="16"/>
        <v>-7.2775706992949107E-3</v>
      </c>
    </row>
    <row r="155" spans="2:7" x14ac:dyDescent="0.3">
      <c r="B155" s="33" t="s">
        <v>234</v>
      </c>
      <c r="C155" s="34">
        <v>45316</v>
      </c>
      <c r="D155" s="35">
        <v>3810.3</v>
      </c>
      <c r="E155" s="36">
        <f t="shared" si="15"/>
        <v>-1.3041845285120313E-2</v>
      </c>
      <c r="F155" s="37">
        <v>19393</v>
      </c>
      <c r="G155" s="38">
        <f t="shared" si="16"/>
        <v>-1.0657130176156437E-2</v>
      </c>
    </row>
    <row r="156" spans="2:7" x14ac:dyDescent="0.3">
      <c r="B156" s="33" t="s">
        <v>235</v>
      </c>
      <c r="C156" s="34">
        <v>45324</v>
      </c>
      <c r="D156" s="35">
        <v>3966.3</v>
      </c>
      <c r="E156" s="36">
        <f t="shared" si="15"/>
        <v>4.0941658137154446E-2</v>
      </c>
      <c r="F156" s="37">
        <v>19910.8</v>
      </c>
      <c r="G156" s="38">
        <f t="shared" si="16"/>
        <v>2.6700355798483955E-2</v>
      </c>
    </row>
    <row r="157" spans="2:7" x14ac:dyDescent="0.3">
      <c r="B157" s="33" t="s">
        <v>236</v>
      </c>
      <c r="C157" s="34">
        <v>45331</v>
      </c>
      <c r="D157" s="35">
        <v>4133.7</v>
      </c>
      <c r="E157" s="36">
        <f t="shared" si="15"/>
        <v>4.2205582028590705E-2</v>
      </c>
      <c r="F157" s="37">
        <v>19961.5</v>
      </c>
      <c r="G157" s="38">
        <f t="shared" si="16"/>
        <v>2.5463567511099239E-3</v>
      </c>
    </row>
    <row r="158" spans="2:7" x14ac:dyDescent="0.3">
      <c r="B158" s="33" t="s">
        <v>237</v>
      </c>
      <c r="C158" s="34">
        <v>45338</v>
      </c>
      <c r="D158" s="35">
        <v>4128.3</v>
      </c>
      <c r="E158" s="36">
        <f t="shared" si="15"/>
        <v>-1.3063357282820931E-3</v>
      </c>
      <c r="F158" s="37">
        <v>20164.900000000001</v>
      </c>
      <c r="G158" s="38">
        <f t="shared" si="16"/>
        <v>1.0189615008892261E-2</v>
      </c>
    </row>
    <row r="159" spans="2:7" x14ac:dyDescent="0.3">
      <c r="B159" s="33" t="s">
        <v>238</v>
      </c>
      <c r="C159" s="34">
        <v>45345</v>
      </c>
      <c r="D159" s="35">
        <v>4052.1</v>
      </c>
      <c r="E159" s="36">
        <f t="shared" si="15"/>
        <v>-1.8457960904004089E-2</v>
      </c>
      <c r="F159" s="37">
        <v>20313.5</v>
      </c>
      <c r="G159" s="38">
        <f t="shared" si="16"/>
        <v>7.3692406111609543E-3</v>
      </c>
    </row>
    <row r="160" spans="2:7" x14ac:dyDescent="0.3">
      <c r="B160" s="33" t="s">
        <v>239</v>
      </c>
      <c r="C160" s="34">
        <v>45353</v>
      </c>
      <c r="D160" s="35">
        <v>4107.1000000000004</v>
      </c>
      <c r="E160" s="36">
        <f t="shared" si="15"/>
        <v>1.357320895338221E-2</v>
      </c>
      <c r="F160" s="37">
        <v>20421.349999999999</v>
      </c>
      <c r="G160" s="38">
        <f t="shared" si="16"/>
        <v>5.3092770817435575E-3</v>
      </c>
    </row>
    <row r="161" spans="2:7" x14ac:dyDescent="0.3">
      <c r="B161" s="33" t="s">
        <v>240</v>
      </c>
      <c r="C161" s="34">
        <v>45358</v>
      </c>
      <c r="D161" s="35">
        <v>4108.6000000000004</v>
      </c>
      <c r="E161" s="36">
        <f t="shared" si="15"/>
        <v>3.6522120230819688E-4</v>
      </c>
      <c r="F161" s="37">
        <v>20434.8</v>
      </c>
      <c r="G161" s="38">
        <f t="shared" si="16"/>
        <v>6.5862442982478342E-4</v>
      </c>
    </row>
    <row r="162" spans="2:7" x14ac:dyDescent="0.3">
      <c r="B162" s="33" t="s">
        <v>241</v>
      </c>
      <c r="C162" s="34">
        <v>45366</v>
      </c>
      <c r="D162" s="35">
        <v>4219.25</v>
      </c>
      <c r="E162" s="36">
        <f t="shared" si="15"/>
        <v>2.6931314803095852E-2</v>
      </c>
      <c r="F162" s="37">
        <v>19825.2</v>
      </c>
      <c r="G162" s="38">
        <f t="shared" si="16"/>
        <v>-2.9831463973222117E-2</v>
      </c>
    </row>
    <row r="163" spans="2:7" x14ac:dyDescent="0.3">
      <c r="B163" s="33" t="s">
        <v>242</v>
      </c>
      <c r="C163" s="34">
        <v>45373</v>
      </c>
      <c r="D163" s="35">
        <v>3910.9</v>
      </c>
      <c r="E163" s="36">
        <f t="shared" si="15"/>
        <v>-7.3081708834508485E-2</v>
      </c>
      <c r="F163" s="37">
        <v>19994.599999999999</v>
      </c>
      <c r="G163" s="38">
        <f t="shared" si="16"/>
        <v>8.5446805076365706E-3</v>
      </c>
    </row>
    <row r="164" spans="2:7" x14ac:dyDescent="0.3">
      <c r="B164" s="163" t="s">
        <v>243</v>
      </c>
      <c r="C164" s="164">
        <v>45379</v>
      </c>
      <c r="D164" s="165">
        <v>3876.3</v>
      </c>
      <c r="E164" s="36">
        <f t="shared" si="15"/>
        <v>-8.8470684497173879E-3</v>
      </c>
      <c r="F164" s="166">
        <v>20255.150000000001</v>
      </c>
      <c r="G164" s="38">
        <f t="shared" si="16"/>
        <v>1.3031018374961345E-2</v>
      </c>
    </row>
  </sheetData>
  <mergeCells count="30">
    <mergeCell ref="I67:N67"/>
    <mergeCell ref="J72:N72"/>
    <mergeCell ref="J74:N74"/>
    <mergeCell ref="J75:N75"/>
    <mergeCell ref="J76:N76"/>
    <mergeCell ref="I78:J78"/>
    <mergeCell ref="J59:O59"/>
    <mergeCell ref="J61:O61"/>
    <mergeCell ref="J62:O62"/>
    <mergeCell ref="J63:O63"/>
    <mergeCell ref="J64:O64"/>
    <mergeCell ref="J65:O65"/>
    <mergeCell ref="I33:K33"/>
    <mergeCell ref="I35:N35"/>
    <mergeCell ref="I42:M42"/>
    <mergeCell ref="I52:L52"/>
    <mergeCell ref="I54:O54"/>
    <mergeCell ref="J58:O58"/>
    <mergeCell ref="I17:K17"/>
    <mergeCell ref="I18:K18"/>
    <mergeCell ref="I20:L20"/>
    <mergeCell ref="I25:K25"/>
    <mergeCell ref="I26:K26"/>
    <mergeCell ref="I28:L28"/>
    <mergeCell ref="D6:E6"/>
    <mergeCell ref="F6:G6"/>
    <mergeCell ref="I7:L7"/>
    <mergeCell ref="I14:L14"/>
    <mergeCell ref="I15:K15"/>
    <mergeCell ref="I16:K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Chaudhari</dc:creator>
  <cp:lastModifiedBy>Himanshu Chaudhari</cp:lastModifiedBy>
  <dcterms:created xsi:type="dcterms:W3CDTF">2026-04-23T11:39:43Z</dcterms:created>
  <dcterms:modified xsi:type="dcterms:W3CDTF">2026-04-23T11:43:19Z</dcterms:modified>
</cp:coreProperties>
</file>